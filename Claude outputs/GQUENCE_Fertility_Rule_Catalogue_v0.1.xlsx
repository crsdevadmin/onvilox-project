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ules" sheetId="2" state="visible" r:id="rId4"/>
    <sheet name="Claims" sheetId="3" state="visible" r:id="rId5"/>
    <sheet name="Inputs" sheetId="4" state="visible" r:id="rId6"/>
    <sheet name="Ingredient fields" sheetId="5" state="visible" r:id="rId7"/>
    <sheet name="Sources" sheetId="6" state="visible" r:id="rId8"/>
  </sheets>
  <definedNames>
    <definedName function="false" hidden="true" localSheetId="1" name="_xlnm._FilterDatabase" vbProcedure="false">Rules!$A$1:$Q$97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<sst xmlns="http://schemas.openxmlformats.org/spreadsheetml/2006/main" count="1413" uniqueCount="613">
  <si>
    <t xml:space="preserve">GQUENCE Fertility — Clinical Rule Catalogue</t>
  </si>
  <si>
    <t xml:space="preserve">Version</t>
  </si>
  <si>
    <t xml:space="preserve">v0.1 DRAFT — prepared 28 Sep 2026 for clinical review. Not for clinical use until signed off.</t>
  </si>
  <si>
    <t xml:space="preserve">Purpose</t>
  </si>
  <si>
    <t xml:space="preserve">Every rule the Fertility engine will run, written in plain language so the IVF specialist and fertility dietitian can approve, change or reject each one before it is coded. The engine will only run rules whose Status is "Approved".</t>
  </si>
  <si>
    <t xml:space="preserve">Who reviews</t>
  </si>
  <si>
    <t xml:space="preserve">IVF / reproductive-medicine specialist (column M) and fertility dietitian (column N) on the Rules sheet. Both must approve a rule.</t>
  </si>
  <si>
    <t xml:space="preserve">How to review</t>
  </si>
  <si>
    <t xml:space="preserve">1. Read IF (trigger) and THEN (action). 2. Check Evidence level and Source. 3. Choose Approve / Change / Reject in your decision column. 4. For Change or Reject, write the correct wording in "Reviewer comments". 5. Add your name and date.</t>
  </si>
  <si>
    <t xml:space="preserve">Cells to fill in</t>
  </si>
  <si>
    <t xml:space="preserve">Yellow cells only (Rules sheet columns M–Q, Ingredient fields sheet). Everything else is the draft for you to review.</t>
  </si>
  <si>
    <t xml:space="preserve">ENGINE BEHAVIOUR</t>
  </si>
  <si>
    <t xml:space="preserve">AUTO</t>
  </si>
  <si>
    <t xml:space="preserve">Engine may apply it on its own. The whole formula still needs clinician approval before manufacture.</t>
  </si>
  <si>
    <t xml:space="preserve">FLAG</t>
  </si>
  <si>
    <t xml:space="preserve">Engine suggests it; clinician must accept.</t>
  </si>
  <si>
    <t xml:space="preserve">REVIEW</t>
  </si>
  <si>
    <t xml:space="preserve">Engine stops and asks the clinician; nothing changes automatically.</t>
  </si>
  <si>
    <t xml:space="preserve">BLOCK</t>
  </si>
  <si>
    <t xml:space="preserve">Hard stop / never allowed / mandatory system rule.</t>
  </si>
  <si>
    <t xml:space="preserve">EVIDENCE LEVELS</t>
  </si>
  <si>
    <t xml:space="preserve">A — Strong / established</t>
  </si>
  <si>
    <t xml:space="preserve">Guideline-supported (e.g. preconception folic acid, correcting a measured deficiency, healthy dietary pattern).</t>
  </si>
  <si>
    <t xml:space="preserve">B — Reasonable / conditional</t>
  </si>
  <si>
    <t xml:space="preserve">Evidence exists but is not definitive.</t>
  </si>
  <si>
    <t xml:space="preserve">C — Limited</t>
  </si>
  <si>
    <t xml:space="preserve">May be considered only with clinician approval; never auto-included.</t>
  </si>
  <si>
    <t xml:space="preserve">D — Insufficient</t>
  </si>
  <si>
    <t xml:space="preserve">Never recommended automatically; no claims.</t>
  </si>
  <si>
    <t xml:space="preserve">—</t>
  </si>
  <si>
    <t xml:space="preserve">Process / safety / data rule — not a clinical recommendation.</t>
  </si>
  <si>
    <t xml:space="preserve">PATHWAY CODES</t>
  </si>
  <si>
    <t xml:space="preserve">V1 pathways</t>
  </si>
  <si>
    <t xml:space="preserve">F0 Preconception · F2 PCOS / ovulatory dysfunction · F6 IVF/ICSI preparation · F7 Ovarian stimulation · F8 Post-retrieval · F9 Embryo transfer / pregnancy-pending · M Male factor</t>
  </si>
  <si>
    <t xml:space="preserve">Later (guard rails only in V1)</t>
  </si>
  <si>
    <t xml:space="preserve">F3 DOR / POI · F4 Endometriosis · F11 Recurrent pregnancy loss</t>
  </si>
  <si>
    <t xml:space="preserve">Nutrition phenotypes</t>
  </si>
  <si>
    <t xml:space="preserve">N1 low energy · N2 low protein · N3 excess adiposity/metabolic · N4 low BMI · N5 glycaemic · N6 micronutrient (measured or risk) · N7 poor diet quality · N8 high ultra-processed · N9 veg/vegan risk · N10 GI intolerance · N11 adherence · N12 multiple</t>
  </si>
  <si>
    <t xml:space="preserve">EXAMPLE OF A COMPLETED REVIEW</t>
  </si>
  <si>
    <t xml:space="preserve">F0-05 (caffeine)</t>
  </si>
  <si>
    <t xml:space="preserve">IVF specialist: Change · Dietitian: Approve · Comment: "Use ≤200 mg/day and list common Indian sources (filter coffee ≈ 100 mg/cup)." · Reviewed by: Dr A. Kumar · 12 Oct 2026</t>
  </si>
  <si>
    <t xml:space="preserve">Important</t>
  </si>
  <si>
    <t xml:space="preserve">Numeric thresholds marked "clinic to set/confirm" are placeholders. Sources marked "current version" or "—" must be checked against the latest publication during review.</t>
  </si>
  <si>
    <t xml:space="preserve">REVIEW PROGRESS (live)</t>
  </si>
  <si>
    <t xml:space="preserve">Total rules</t>
  </si>
  <si>
    <t xml:space="preserve">IVF specialist — approved</t>
  </si>
  <si>
    <t xml:space="preserve">IVF specialist — change requested</t>
  </si>
  <si>
    <t xml:space="preserve">IVF specialist — rejected</t>
  </si>
  <si>
    <t xml:space="preserve">Dietitian — approved</t>
  </si>
  <si>
    <t xml:space="preserve">Dietitian — change requested</t>
  </si>
  <si>
    <t xml:space="preserve">Dietitian — rejected</t>
  </si>
  <si>
    <t xml:space="preserve">Approved by both (ready to code)</t>
  </si>
  <si>
    <t xml:space="preserve">Still to review (either reviewer blank)</t>
  </si>
  <si>
    <t xml:space="preserve">Rule ID</t>
  </si>
  <si>
    <t xml:space="preserve">Area</t>
  </si>
  <si>
    <t xml:space="preserve">Pathway</t>
  </si>
  <si>
    <t xml:space="preserve">Applies to</t>
  </si>
  <si>
    <t xml:space="preserve">Rule type</t>
  </si>
  <si>
    <t xml:space="preserve">IF (trigger)</t>
  </si>
  <si>
    <t xml:space="preserve">THEN (engine action)</t>
  </si>
  <si>
    <t xml:space="preserve">Engine behaviour</t>
  </si>
  <si>
    <t xml:space="preserve">Evidence level</t>
  </si>
  <si>
    <t xml:space="preserve">Source IDs</t>
  </si>
  <si>
    <t xml:space="preserve">Notes / claim restriction</t>
  </si>
  <si>
    <t xml:space="preserve">Status</t>
  </si>
  <si>
    <t xml:space="preserve">IVF specialist decision</t>
  </si>
  <si>
    <t xml:space="preserve">Dietitian decision</t>
  </si>
  <si>
    <t xml:space="preserve">Reviewer comments</t>
  </si>
  <si>
    <t xml:space="preserve">Reviewed by</t>
  </si>
  <si>
    <t xml:space="preserve">Date reviewed</t>
  </si>
  <si>
    <t xml:space="preserve">G-01</t>
  </si>
  <si>
    <t xml:space="preserve">Global</t>
  </si>
  <si>
    <t xml:space="preserve">ALL</t>
  </si>
  <si>
    <t xml:space="preserve">Both</t>
  </si>
  <si>
    <t xml:space="preserve">Process</t>
  </si>
  <si>
    <t xml:space="preserve">Any patient, any pathway</t>
  </si>
  <si>
    <t xml:space="preserve">The engine never selects a formula from a diagnosis alone. Every formula passes: pathway → red-flag screen → nutrition phenotype → rules → targets → ingredient safety → clinician approval.</t>
  </si>
  <si>
    <t xml:space="preserve">S1</t>
  </si>
  <si>
    <t xml:space="preserve">Core design rule.</t>
  </si>
  <si>
    <t xml:space="preserve">Draft</t>
  </si>
  <si>
    <t xml:space="preserve">G-02</t>
  </si>
  <si>
    <t xml:space="preserve">Any recommendation the engine outputs</t>
  </si>
  <si>
    <t xml:space="preserve">Must carry: evidence level (A–D), source ID, source year, date this rule was last reviewed, reviewer name.</t>
  </si>
  <si>
    <t xml:space="preserve">A recommendation without an evidence tag is not shown.</t>
  </si>
  <si>
    <t xml:space="preserve">G-03</t>
  </si>
  <si>
    <t xml:space="preserve">Recommendation is Level D</t>
  </si>
  <si>
    <t xml:space="preserve">Never generated automatically. Can only be added manually by the treating clinician with a documented reason.</t>
  </si>
  <si>
    <t xml:space="preserve">G-04</t>
  </si>
  <si>
    <t xml:space="preserve">Recommendation is Level C</t>
  </si>
  <si>
    <t xml:space="preserve">Shown only as "consider — clinician approval required"; never auto-included in a formula.</t>
  </si>
  <si>
    <t xml:space="preserve">G-05</t>
  </si>
  <si>
    <t xml:space="preserve">Red flag</t>
  </si>
  <si>
    <t xml:space="preserve">Any red-flag rule (RF-xx) fires</t>
  </si>
  <si>
    <t xml:space="preserve">Stop automated formula changes for that patient; route to treating specialist; formula stays at last approved version until reviewed.</t>
  </si>
  <si>
    <t xml:space="preserve">G-06</t>
  </si>
  <si>
    <t xml:space="preserve">Female</t>
  </si>
  <si>
    <t xml:space="preserve">Safety mode</t>
  </si>
  <si>
    <t xml:space="preserve">Embryo transfer recorded, OR missed period / positive pregnancy test / possible pregnancy reported</t>
  </si>
  <si>
    <t xml:space="preserve">Switch patient to PREGNANCY-PENDING safety set (see F9 rules) until the clinician records a negative result.</t>
  </si>
  <si>
    <t xml:space="preserve">G-07</t>
  </si>
  <si>
    <t xml:space="preserve">Ingredient</t>
  </si>
  <si>
    <t xml:space="preserve">Formula candidate contains a herbal / botanical ingredient</t>
  </si>
  <si>
    <t xml:space="preserve">Not eligible by default. Eligible only with evidence record, pregnancy-safety data, interaction check and explicit clinician approval.</t>
  </si>
  <si>
    <t xml:space="preserve">Protects GQUENCE from becoming a "fertility supplement" product.</t>
  </si>
  <si>
    <t xml:space="preserve">G-08</t>
  </si>
  <si>
    <t xml:space="preserve">Claims</t>
  </si>
  <si>
    <t xml:space="preserve">Any patient-facing or label text is generated</t>
  </si>
  <si>
    <t xml:space="preserve">Checked against the DO-NOT-CLAIM list (Claims sheet). A blocked phrase stops publication.</t>
  </si>
  <si>
    <t xml:space="preserve">S18</t>
  </si>
  <si>
    <t xml:space="preserve">G-09</t>
  </si>
  <si>
    <t xml:space="preserve">Data</t>
  </si>
  <si>
    <t xml:space="preserve">A lab value is used by any rule</t>
  </si>
  <si>
    <t xml:space="preserve">Must have value, unit, reference range, collection date and source. Engine classifies it as MEASURED DEFICIENCY / BORDERLINE / NORMAL; missing test = RISK ONLY (never treated as deficiency). Result older than the clinic-set window (proposed 3 months) is marked stale.</t>
  </si>
  <si>
    <t xml:space="preserve">Stale window: clinician to confirm.</t>
  </si>
  <si>
    <t xml:space="preserve">G-10</t>
  </si>
  <si>
    <t xml:space="preserve">Any ingredient + patient's current medicines</t>
  </si>
  <si>
    <t xml:space="preserve">Interaction check against ingredient master. Unknown interaction = not eligible until reviewed.</t>
  </si>
  <si>
    <t xml:space="preserve">G-11</t>
  </si>
  <si>
    <t xml:space="preserve">Couple case</t>
  </si>
  <si>
    <t xml:space="preserve">Female and male partners are assessed, classified and formulated separately. No combined "fertility score".</t>
  </si>
  <si>
    <t xml:space="preserve">S1, S2</t>
  </si>
  <si>
    <t xml:space="preserve">G-12</t>
  </si>
  <si>
    <t xml:space="preserve">F0/F1</t>
  </si>
  <si>
    <t xml:space="preserve">Referral</t>
  </si>
  <si>
    <t xml:space="preserve">Trying to conceive without success: age &lt;35 for ≥12 months; 35–39 for ≥6 months; ≥40 at any time</t>
  </si>
  <si>
    <t xml:space="preserve">Prompt fertility specialist evaluation. Nutrition work continues in parallel and must never delay referral.</t>
  </si>
  <si>
    <t xml:space="preserve">A</t>
  </si>
  <si>
    <t xml:space="preserve">G-13</t>
  </si>
  <si>
    <t xml:space="preserve">Age ≥35, low AMH/AFC, DOR or POI</t>
  </si>
  <si>
    <t xml:space="preserve">State explicitly that nutrition does not improve ovarian reserve or reverse ovarian ageing.</t>
  </si>
  <si>
    <t xml:space="preserve">S1, S13</t>
  </si>
  <si>
    <t xml:space="preserve">Hard rule.</t>
  </si>
  <si>
    <t xml:space="preserve">G-14</t>
  </si>
  <si>
    <t xml:space="preserve">Engine run</t>
  </si>
  <si>
    <t xml:space="preserve">Save every run with inputs, engine version, rule-pack version and output, so any past recommendation can be reproduced (outcome database / audit).</t>
  </si>
  <si>
    <t xml:space="preserve">RF-01</t>
  </si>
  <si>
    <t xml:space="preserve">BMI &lt;18.5 (Asian cut-off) with absent or infrequent periods, OR unintended weight loss (clinic to set threshold, proposed &gt;5% in 3 months)</t>
  </si>
  <si>
    <t xml:space="preserve">Possible hypothalamic amenorrhoea / disordered eating. Clinician review. No weight-loss, fasting or restrictive plan may be generated.</t>
  </si>
  <si>
    <t xml:space="preserve">S1, S3, S10</t>
  </si>
  <si>
    <t xml:space="preserve">RF-02</t>
  </si>
  <si>
    <t xml:space="preserve">HbA1c ≥6.5% or fasting plasma glucose ≥126 mg/dL</t>
  </si>
  <si>
    <t xml:space="preserve">Possible diabetes → physician review before formula; conception planning is a medical decision.</t>
  </si>
  <si>
    <t xml:space="preserve">S14</t>
  </si>
  <si>
    <t xml:space="preserve">RF-03</t>
  </si>
  <si>
    <t xml:space="preserve">TSH outside the clinic's preconception target range, or known thyroid disease not under review</t>
  </si>
  <si>
    <t xml:space="preserve">Physician review. Engine does not dose iodine or thyroid-active ingredients around it.</t>
  </si>
  <si>
    <t xml:space="preserve">S2</t>
  </si>
  <si>
    <t xml:space="preserve">Target range: clinic to define.</t>
  </si>
  <si>
    <t xml:space="preserve">RF-04</t>
  </si>
  <si>
    <t xml:space="preserve">Prolactin above reference range</t>
  </si>
  <si>
    <t xml:space="preserve">Physician review.</t>
  </si>
  <si>
    <t xml:space="preserve">RF-05</t>
  </si>
  <si>
    <t xml:space="preserve">F7/F8</t>
  </si>
  <si>
    <t xml:space="preserve">During stimulation or after retrieval: abdominal distension/pain, persistent nausea/vomiting, breathlessness, reduced urine output, rapid weight gain, or clinician-entered OHSS concern</t>
  </si>
  <si>
    <t xml:space="preserve">URGENT: stop automated nutrition changes; alert treating fertility specialist. Nutrition only within the clinician-approved plan. Never managed through a formula.</t>
  </si>
  <si>
    <t xml:space="preserve">S5</t>
  </si>
  <si>
    <t xml:space="preserve">RF-06</t>
  </si>
  <si>
    <t xml:space="preserve">F9/F10</t>
  </si>
  <si>
    <t xml:space="preserve">Bleeding, pain or other concern reported after transfer or with positive test</t>
  </si>
  <si>
    <t xml:space="preserve">Clinician review. No formula changes.</t>
  </si>
  <si>
    <t xml:space="preserve">RF-07</t>
  </si>
  <si>
    <t xml:space="preserve">M</t>
  </si>
  <si>
    <t xml:space="preserve">Male</t>
  </si>
  <si>
    <t xml:space="preserve">Current or past testosterone / anabolic-steroid use</t>
  </si>
  <si>
    <t xml:space="preserve">Andrology / urology review. No "testosterone-supporting" ingredients.</t>
  </si>
  <si>
    <t xml:space="preserve">S6</t>
  </si>
  <si>
    <t xml:space="preserve">RF-08</t>
  </si>
  <si>
    <t xml:space="preserve">Azoospermia, or concentration &lt;5 million/mL</t>
  </si>
  <si>
    <t xml:space="preserve">Specialist (andrology) review. Nutrition may be offered for general health only — never presented as treatment.</t>
  </si>
  <si>
    <t xml:space="preserve">RF-09</t>
  </si>
  <si>
    <t xml:space="preserve">Haemoglobin below the WHO severe-anaemia threshold</t>
  </si>
  <si>
    <t xml:space="preserve">Physician review before formula.</t>
  </si>
  <si>
    <t xml:space="preserve">S19</t>
  </si>
  <si>
    <t xml:space="preserve">Threshold per WHO 2024 by sex/pregnancy.</t>
  </si>
  <si>
    <t xml:space="preserve">RF-10</t>
  </si>
  <si>
    <t xml:space="preserve">Current medicine with known teratogenic risk (e.g. isotretinoin, valproate, methotrexate, some antiepileptics) while trying to conceive</t>
  </si>
  <si>
    <t xml:space="preserve">Physician review. Also triggers F0-02 (high-dose folic acid flag) where relevant.</t>
  </si>
  <si>
    <t xml:space="preserve">Medicine list to be maintained by clinical pharmacist.</t>
  </si>
  <si>
    <t xml:space="preserve">RF-11</t>
  </si>
  <si>
    <t xml:space="preserve">F8</t>
  </si>
  <si>
    <t xml:space="preserve">Unable to keep oral intake/fluids down for &gt;24 h after retrieval</t>
  </si>
  <si>
    <t xml:space="preserve">Clinician review.</t>
  </si>
  <si>
    <t xml:space="preserve">RF-12</t>
  </si>
  <si>
    <t xml:space="preserve">Active eating disorder reported or suspected on screening</t>
  </si>
  <si>
    <t xml:space="preserve">Clinician / specialist review. Engine generates no energy restriction.</t>
  </si>
  <si>
    <t xml:space="preserve">S3</t>
  </si>
  <si>
    <t xml:space="preserve">NP-01</t>
  </si>
  <si>
    <t xml:space="preserve">Nutrition phenotype</t>
  </si>
  <si>
    <t xml:space="preserve">Phenotype</t>
  </si>
  <si>
    <t xml:space="preserve">Estimated protein intake below target (target set by dietitian; ICMR-NIN adult reference ≈0.83 g/kg/day)</t>
  </si>
  <si>
    <t xml:space="preserve">N2 inadequate protein → protein-adequacy priority; formula protein = target − dietary intake.</t>
  </si>
  <si>
    <t xml:space="preserve">S9</t>
  </si>
  <si>
    <t xml:space="preserve">NP-02</t>
  </si>
  <si>
    <t xml:space="preserve">Estimated energy intake well below requirement</t>
  </si>
  <si>
    <t xml:space="preserve">N1 inadequate energy → energy-adequacy priority.</t>
  </si>
  <si>
    <t xml:space="preserve">NP-03</t>
  </si>
  <si>
    <t xml:space="preserve">BMI ≥23 (overweight) or ≥25 (obese) using Asian cut-offs, with or without metabolic markers</t>
  </si>
  <si>
    <t xml:space="preserve">N3 excess adiposity / metabolic risk → metabolic-optimisation priority. Intensity and timing set by clinician (see F6-02, F7-02).</t>
  </si>
  <si>
    <t xml:space="preserve">S10</t>
  </si>
  <si>
    <t xml:space="preserve">Clinic to confirm Asian vs WHO global cut-offs.</t>
  </si>
  <si>
    <t xml:space="preserve">NP-04</t>
  </si>
  <si>
    <t xml:space="preserve">BMI &lt;18.5</t>
  </si>
  <si>
    <t xml:space="preserve">N4 under-nutrition → nutritional-adequacy pathway (plus RF-01 check).</t>
  </si>
  <si>
    <t xml:space="preserve">NP-05</t>
  </si>
  <si>
    <t xml:space="preserve">HbA1c 5.7–6.4% or fasting glucose 100–125 mg/dL</t>
  </si>
  <si>
    <t xml:space="preserve">N5 glycaemic risk → carbohydrate quality, fibre, activity; physician informed.</t>
  </si>
  <si>
    <t xml:space="preserve">NP-06</t>
  </si>
  <si>
    <t xml:space="preserve">Lab value below reference range (measured, in date)</t>
  </si>
  <si>
    <t xml:space="preserve">N6 measured deficiency → correction plan proposed; clinician approves dose; re-test date set.</t>
  </si>
  <si>
    <t xml:space="preserve">Distinguish from NP-07.</t>
  </si>
  <si>
    <t xml:space="preserve">NP-07</t>
  </si>
  <si>
    <t xml:space="preserve">Risk factor present but no lab test (e.g. vegetarian without B12, heavy periods without ferritin)</t>
  </si>
  <si>
    <t xml:space="preserve">N6 risk → recommend the TEST, not a treatment dose.</t>
  </si>
  <si>
    <t xml:space="preserve">B</t>
  </si>
  <si>
    <t xml:space="preserve">NP-08</t>
  </si>
  <si>
    <t xml:space="preserve">Vegetarian / vegan / Jain diet</t>
  </si>
  <si>
    <t xml:space="preserve">N9 → check B12, iron/ferritin, protein quality, iodine, omega-3; ingredient choices respect the diet (see IS-05).</t>
  </si>
  <si>
    <t xml:space="preserve">NP-09</t>
  </si>
  <si>
    <t xml:space="preserve">Low diet-quality score or high ultra-processed-food intake</t>
  </si>
  <si>
    <t xml:space="preserve">N7/N8 → dietary-pattern counselling; no fertility claim.</t>
  </si>
  <si>
    <t xml:space="preserve">NP-10</t>
  </si>
  <si>
    <t xml:space="preserve">Hb below reference or ferritin low</t>
  </si>
  <si>
    <t xml:space="preserve">Iron-status correction via clinician; iron dose never auto-set.</t>
  </si>
  <si>
    <t xml:space="preserve">NP-11</t>
  </si>
  <si>
    <t xml:space="preserve">Two or more phenotypes</t>
  </si>
  <si>
    <t xml:space="preserve">N12 multiple risks → priority order: red flags &gt; measured deficiency &gt; energy/protein &gt; metabolic &gt; diet quality.</t>
  </si>
  <si>
    <t xml:space="preserve">Priority order: clinician to confirm.</t>
  </si>
  <si>
    <t xml:space="preserve">F0-01</t>
  </si>
  <si>
    <t xml:space="preserve">Preconception (F0)</t>
  </si>
  <si>
    <t xml:space="preserve">F0,F2,F6</t>
  </si>
  <si>
    <t xml:space="preserve">Target</t>
  </si>
  <si>
    <t xml:space="preserve">Trying to conceive / planning treatment</t>
  </si>
  <si>
    <t xml:space="preserve">Folic acid 400 µg/day, started at least 1 month (ideally 3) before conception. If already taking, count it toward the total (IS-03).</t>
  </si>
  <si>
    <t xml:space="preserve">F0-02</t>
  </si>
  <si>
    <t xml:space="preserve">Previous neural-tube-defect pregnancy, diabetes, BMI ≥30, antiepileptic medicine or malabsorption</t>
  </si>
  <si>
    <t xml:space="preserve">Flag possible high-dose folic acid (commonly 4–5 mg) — physician decision. Engine never sets high dose itself.</t>
  </si>
  <si>
    <t xml:space="preserve">S16</t>
  </si>
  <si>
    <t xml:space="preserve">F0-03</t>
  </si>
  <si>
    <t xml:space="preserve">Lifestyle</t>
  </si>
  <si>
    <t xml:space="preserve">Current smoker (either partner)</t>
  </si>
  <si>
    <t xml:space="preserve">Cessation advice + referral.</t>
  </si>
  <si>
    <t xml:space="preserve">F0-04</t>
  </si>
  <si>
    <t xml:space="preserve">Alcohol use while trying to conceive</t>
  </si>
  <si>
    <t xml:space="preserve">Advise avoiding alcohol when trying to conceive and in pregnancy.</t>
  </si>
  <si>
    <t xml:space="preserve">F0-05</t>
  </si>
  <si>
    <t xml:space="preserve">Caffeine intake above limit</t>
  </si>
  <si>
    <t xml:space="preserve">Advise ≤200 mg caffeine/day.</t>
  </si>
  <si>
    <t xml:space="preserve">F0-06</t>
  </si>
  <si>
    <t xml:space="preserve">Any patient</t>
  </si>
  <si>
    <t xml:space="preserve">Healthy, sustainable dietary pattern (Indian foods, preferences respected).</t>
  </si>
  <si>
    <t xml:space="preserve">Claim restriction: cannot say any diet improves fertility or live birth.</t>
  </si>
  <si>
    <t xml:space="preserve">F0-07</t>
  </si>
  <si>
    <t xml:space="preserve">Iodine intake likely inadequate (no iodised salt)</t>
  </si>
  <si>
    <t xml:space="preserve">Recommend iodised salt; formula iodine ≤ phase limit; physician review if thyroid disease (RF-03).</t>
  </si>
  <si>
    <t xml:space="preserve">F0-08</t>
  </si>
  <si>
    <t xml:space="preserve">Vitamin D measured low</t>
  </si>
  <si>
    <t xml:space="preserve">Correct deficiency (NP-06). No claim that vitamin D improves fertility or IVF outcome.</t>
  </si>
  <si>
    <t xml:space="preserve">F0-09</t>
  </si>
  <si>
    <t xml:space="preserve">Any patient not in active stimulation</t>
  </si>
  <si>
    <t xml:space="preserve">Physical activity ≥150 min/week moderate, adapted to treatment phase.</t>
  </si>
  <si>
    <t xml:space="preserve">S15</t>
  </si>
  <si>
    <t xml:space="preserve">F0-10</t>
  </si>
  <si>
    <t xml:space="preserve">F0</t>
  </si>
  <si>
    <t xml:space="preserve">Overweight/obese AND not in active treatment</t>
  </si>
  <si>
    <t xml:space="preserve">Gradual weight reduction (e.g. 5–10%) with adequate protein; target set by clinician.</t>
  </si>
  <si>
    <t xml:space="preserve">S1, S3</t>
  </si>
  <si>
    <t xml:space="preserve">F0-11</t>
  </si>
  <si>
    <t xml:space="preserve">Fish eater</t>
  </si>
  <si>
    <t xml:space="preserve">Avoid high-mercury fish.</t>
  </si>
  <si>
    <t xml:space="preserve">F2-01</t>
  </si>
  <si>
    <t xml:space="preserve">PCOS (F2)</t>
  </si>
  <si>
    <t xml:space="preserve">F2</t>
  </si>
  <si>
    <t xml:space="preserve">PCOS entered</t>
  </si>
  <si>
    <t xml:space="preserve">Diagnosis is clinician-entered (Rotterdam criteria). The engine never diagnoses PCOS.</t>
  </si>
  <si>
    <t xml:space="preserve">F2-02</t>
  </si>
  <si>
    <t xml:space="preserve">PCOS, any BMI</t>
  </si>
  <si>
    <t xml:space="preserve">Healthy lifestyle (diet + activity) for metabolic health; benefits occur even without weight loss.</t>
  </si>
  <si>
    <t xml:space="preserve">F2-03</t>
  </si>
  <si>
    <t xml:space="preserve">PCOS + overweight/obese, NOT in stimulation or pregnancy-pending</t>
  </si>
  <si>
    <t xml:space="preserve">Individualised energy deficit (guideline: ~30% or 500–750 kcal/day), sustainable, patient-preference led.</t>
  </si>
  <si>
    <t xml:space="preserve">F2-04</t>
  </si>
  <si>
    <t xml:space="preserve">PCOS + normal BMI</t>
  </si>
  <si>
    <t xml:space="preserve">No weight-loss recommendation. Focus on diet quality, protein adequacy, activity, micronutrient adequacy.</t>
  </si>
  <si>
    <t xml:space="preserve">F2-05</t>
  </si>
  <si>
    <t xml:space="preserve">PCOS</t>
  </si>
  <si>
    <t xml:space="preserve">No specific diet type is preferred (not "PCOS = low-carb").</t>
  </si>
  <si>
    <t xml:space="preserve">F2-06</t>
  </si>
  <si>
    <t xml:space="preserve">PCOS and no glucose test on record</t>
  </si>
  <si>
    <t xml:space="preserve">Prompt clinician to order glycaemic assessment (guideline prefers OGTT).</t>
  </si>
  <si>
    <t xml:space="preserve">F2-07</t>
  </si>
  <si>
    <t xml:space="preserve">Inositol requested or considered</t>
  </si>
  <si>
    <t xml:space="preserve">Level C (experimental per 2023 guideline): clinician approval only; no fertility claim.</t>
  </si>
  <si>
    <t xml:space="preserve">C</t>
  </si>
  <si>
    <t xml:space="preserve">F2-08</t>
  </si>
  <si>
    <t xml:space="preserve">On metformin</t>
  </si>
  <si>
    <t xml:space="preserve">Recorded only (prescribing is clinician domain). Long-term use → prompt B12 check.</t>
  </si>
  <si>
    <t xml:space="preserve">F2-09</t>
  </si>
  <si>
    <t xml:space="preserve">Prompt clinician screening for disordered eating before any energy restriction.</t>
  </si>
  <si>
    <t xml:space="preserve">F2-10</t>
  </si>
  <si>
    <t xml:space="preserve">PCOS, not in stimulation</t>
  </si>
  <si>
    <t xml:space="preserve">Activity: 150–300 min/week moderate or 75–150 vigorous + muscle strengthening 2 days/week.</t>
  </si>
  <si>
    <t xml:space="preserve">F6-01</t>
  </si>
  <si>
    <t xml:space="preserve">IVF preparation (F6)</t>
  </si>
  <si>
    <t xml:space="preserve">F6</t>
  </si>
  <si>
    <t xml:space="preserve">IVF/ICSI planned</t>
  </si>
  <si>
    <t xml:space="preserve">Continue preconception bundle (F0-01…F0-11).</t>
  </si>
  <si>
    <t xml:space="preserve">F6-02</t>
  </si>
  <si>
    <t xml:space="preserve">Overweight/obese, IVF planned</t>
  </si>
  <si>
    <t xml:space="preserve">Whether to delay IVF for weight loss is the specialist's decision. Engine never recommends delaying treatment.</t>
  </si>
  <si>
    <t xml:space="preserve">F6-03</t>
  </si>
  <si>
    <t xml:space="preserve">F6,F7</t>
  </si>
  <si>
    <t xml:space="preserve">DHEA, testosterone, growth hormone, CoQ10, melatonin, "antioxidant" or other IVF add-on considered</t>
  </si>
  <si>
    <t xml:space="preserve">Level D for improving IVF outcome — never auto-included; no claims.</t>
  </si>
  <si>
    <t xml:space="preserve">D</t>
  </si>
  <si>
    <t xml:space="preserve">S4, S5</t>
  </si>
  <si>
    <t xml:space="preserve">Verify exact list against current ESHRE documents.</t>
  </si>
  <si>
    <t xml:space="preserve">F6-04</t>
  </si>
  <si>
    <t xml:space="preserve">Formula generation requested</t>
  </si>
  <si>
    <t xml:space="preserve">Required before a formula can be sent for approval: weight, height, diet pattern, current supplements, current medicines, treatment phase. Labs used when present (Hb, HbA1c, TSH, vitamin D, B12, ferritin).</t>
  </si>
  <si>
    <t xml:space="preserve">Same completeness-gate idea as Oncology.</t>
  </si>
  <si>
    <t xml:space="preserve">F6-05</t>
  </si>
  <si>
    <t xml:space="preserve">Patient already takes supplements</t>
  </si>
  <si>
    <t xml:space="preserve">Add patient's own supplements to formula totals before checking upper limits (IS-03); flag duplicates.</t>
  </si>
  <si>
    <t xml:space="preserve">F7-01</t>
  </si>
  <si>
    <t xml:space="preserve">Ovarian stimulation (F7)</t>
  </si>
  <si>
    <t xml:space="preserve">F7</t>
  </si>
  <si>
    <t xml:space="preserve">Stimulation start date recorded</t>
  </si>
  <si>
    <t xml:space="preserve">Enter stimulation mode: any formula change needs clinician approval that week.</t>
  </si>
  <si>
    <t xml:space="preserve">F7-02</t>
  </si>
  <si>
    <t xml:space="preserve">In stimulation</t>
  </si>
  <si>
    <t xml:space="preserve">No calorie restriction, fasting or weight-loss programme.</t>
  </si>
  <si>
    <t xml:space="preserve">F7-03</t>
  </si>
  <si>
    <t xml:space="preserve">Bloating, early satiety, constipation or nausea</t>
  </si>
  <si>
    <t xml:space="preserve">Small frequent meals, adequate fluids and protein, fibre/fluids for constipation — within clinician instructions.</t>
  </si>
  <si>
    <t xml:space="preserve">F7-04</t>
  </si>
  <si>
    <t xml:space="preserve">New ingredient proposed during stimulation</t>
  </si>
  <si>
    <t xml:space="preserve">Not introduced unless clinician explicitly approves.</t>
  </si>
  <si>
    <t xml:space="preserve">F8-01</t>
  </si>
  <si>
    <t xml:space="preserve">Post-retrieval (F8)</t>
  </si>
  <si>
    <t xml:space="preserve">Retrieval recorded (oocytes, mature oocytes, fertilisation)</t>
  </si>
  <si>
    <t xml:space="preserve">Stored for outcomes only. NOT used to score nutrition success; egg number/quality ≠ nutrition result.</t>
  </si>
  <si>
    <t xml:space="preserve">F8-02</t>
  </si>
  <si>
    <t xml:space="preserve">After retrieval</t>
  </si>
  <si>
    <t xml:space="preserve">Support hydration and oral intake; adjust for GI tolerance per clinician instructions.</t>
  </si>
  <si>
    <t xml:space="preserve">F8-03</t>
  </si>
  <si>
    <t xml:space="preserve">Freeze-all or clinician concern for OHSS</t>
  </si>
  <si>
    <t xml:space="preserve">Apply RF-05.</t>
  </si>
  <si>
    <t xml:space="preserve">F9-01</t>
  </si>
  <si>
    <t xml:space="preserve">Transfer / pregnancy-pending (F9)</t>
  </si>
  <si>
    <t xml:space="preserve">F9</t>
  </si>
  <si>
    <t xml:space="preserve">Embryo transfer date recorded</t>
  </si>
  <si>
    <t xml:space="preserve">Enter PREGNANCY-PENDING mode; ingredient eligibility and doses switch to pregnancy limits.</t>
  </si>
  <si>
    <t xml:space="preserve">F9-02</t>
  </si>
  <si>
    <t xml:space="preserve">Pregnancy-pending</t>
  </si>
  <si>
    <t xml:space="preserve">Block: weight-loss programmes, fasting, restrictive diets, herbal and experimental ingredients.</t>
  </si>
  <si>
    <t xml:space="preserve">F9-03</t>
  </si>
  <si>
    <t xml:space="preserve">Preformed vitamin A (retinol) in formula</t>
  </si>
  <si>
    <t xml:space="preserve">Total must stay below the pregnancy upper limit (3,000 µg RAE/day ≈ 10,000 IU); prefer none/beta-carotene.</t>
  </si>
  <si>
    <t xml:space="preserve">Verify limit against ICMR-NIN 2020 table.</t>
  </si>
  <si>
    <t xml:space="preserve">F9-04</t>
  </si>
  <si>
    <t xml:space="preserve">Food-safety advice (avoid unpasteurised dairy, raw/undercooked meat, fish, eggs; high-mercury fish); caffeine ≤200 mg/day; no alcohol.</t>
  </si>
  <si>
    <t xml:space="preserve">F9-05</t>
  </si>
  <si>
    <t xml:space="preserve">Positive pregnancy test recorded</t>
  </si>
  <si>
    <t xml:space="preserve">Hand over to pregnancy nutrition care (outside V1). Fertility formula stops unless clinician confirms it is pregnancy-appropriate.</t>
  </si>
  <si>
    <t xml:space="preserve">F9-06</t>
  </si>
  <si>
    <t xml:space="preserve">Negative result recorded</t>
  </si>
  <si>
    <t xml:space="preserve">Exit pregnancy-pending mode → reassessment (MO-02) → back to F6.</t>
  </si>
  <si>
    <t xml:space="preserve">M-01</t>
  </si>
  <si>
    <t xml:space="preserve">Male factor (M)</t>
  </si>
  <si>
    <t xml:space="preserve">Semen analysis entered</t>
  </si>
  <si>
    <t xml:space="preserve">Classify against WHO 2021 lower reference limits (volume 1.4 mL; concentration 16 million/mL; total count 39 million; total motility 42%; progressive motility 30%; normal forms 4%; vitality 54%). Limits stored as data, not code.</t>
  </si>
  <si>
    <t xml:space="preserve">M-02</t>
  </si>
  <si>
    <t xml:space="preserve">Single abnormal semen analysis</t>
  </si>
  <si>
    <t xml:space="preserve">Recommend a repeat analysis before final classification.</t>
  </si>
  <si>
    <t xml:space="preserve">M-03</t>
  </si>
  <si>
    <t xml:space="preserve">All parameters ≥ reference limits</t>
  </si>
  <si>
    <t xml:space="preserve">M1 → general nutrition and lifestyle optimisation.</t>
  </si>
  <si>
    <t xml:space="preserve">M-04</t>
  </si>
  <si>
    <t xml:space="preserve">Any single parameter below limit (M2 concentration / M3 motility / M4 morphology)</t>
  </si>
  <si>
    <t xml:space="preserve">Nutrition assessment AND andrology/urology referral pathway.</t>
  </si>
  <si>
    <t xml:space="preserve">M-05</t>
  </si>
  <si>
    <t xml:space="preserve">Two or more parameters below limit</t>
  </si>
  <si>
    <t xml:space="preserve">M5 multiple abnormalities → specialist review.</t>
  </si>
  <si>
    <t xml:space="preserve">M-06</t>
  </si>
  <si>
    <t xml:space="preserve">Antioxidant, folate + zinc or similar "sperm" formula considered</t>
  </si>
  <si>
    <t xml:space="preserve">Level D for improving semen parameters or live birth (MOXI 2020, FAZST 2020). Never auto-included; no claims.</t>
  </si>
  <si>
    <t xml:space="preserve">S7, S8</t>
  </si>
  <si>
    <t xml:space="preserve">M-07</t>
  </si>
  <si>
    <t xml:space="preserve">Smoking, alcohol, testicular heat exposure, obesity</t>
  </si>
  <si>
    <t xml:space="preserve">Lifestyle modification advice.</t>
  </si>
  <si>
    <t xml:space="preserve">M-08</t>
  </si>
  <si>
    <t xml:space="preserve">Diabetes or metabolic disease</t>
  </si>
  <si>
    <t xml:space="preserve">Physician review; metabolic optimisation.</t>
  </si>
  <si>
    <t xml:space="preserve">M-09</t>
  </si>
  <si>
    <t xml:space="preserve">Monitoring</t>
  </si>
  <si>
    <t xml:space="preserve">Lifestyle/nutrition change started</t>
  </si>
  <si>
    <t xml:space="preserve">Repeat semen analysis no sooner than ~3 months (spermatogenesis cycle ≈ 74 days).</t>
  </si>
  <si>
    <t xml:space="preserve">IS-01</t>
  </si>
  <si>
    <t xml:space="preserve">Ingredient safety (IS)</t>
  </si>
  <si>
    <t xml:space="preserve">Ingredient proposed</t>
  </si>
  <si>
    <t xml:space="preserve">Must exist in the approved ingredient master with every safety field complete (see Ingredient fields sheet); otherwise not eligible.</t>
  </si>
  <si>
    <t xml:space="preserve">IS-02</t>
  </si>
  <si>
    <t xml:space="preserve">Dose calculated</t>
  </si>
  <si>
    <t xml:space="preserve">Dose ≤ maximum permitted for the current phase (preconception / stimulation / pregnancy-pending).</t>
  </si>
  <si>
    <t xml:space="preserve">IS-03</t>
  </si>
  <si>
    <t xml:space="preserve">Formula total calculated</t>
  </si>
  <si>
    <t xml:space="preserve">Formula + patient's own supplements (+ estimated diet where relevant) ≤ tolerable upper limit.</t>
  </si>
  <si>
    <t xml:space="preserve">IS-04</t>
  </si>
  <si>
    <t xml:space="preserve">Allergy, intolerance or diet (vegetarian, Jain, egg-free, lactose)</t>
  </si>
  <si>
    <t xml:space="preserve">Exclude incompatible ingredients and capsule/excipient sources (e.g. whey vs plant protein, gelatin).</t>
  </si>
  <si>
    <t xml:space="preserve">IS-05</t>
  </si>
  <si>
    <t xml:space="preserve">Ingredient evidence record not reviewed in &gt;12 months</t>
  </si>
  <si>
    <t xml:space="preserve">Ingredient flagged for re-review; new formulas cannot use it until re-approved.</t>
  </si>
  <si>
    <t xml:space="preserve">MO-01</t>
  </si>
  <si>
    <t xml:space="preserve">Monitoring (MO)</t>
  </si>
  <si>
    <t xml:space="preserve">Weekly check-in</t>
  </si>
  <si>
    <t xml:space="preserve">Capture weight, adherence, GI tolerance, symptoms, current treatment phase.</t>
  </si>
  <si>
    <t xml:space="preserve">MO-02</t>
  </si>
  <si>
    <t xml:space="preserve">Week 2 / 4 / 6, or ANY treatment-phase change</t>
  </si>
  <si>
    <t xml:space="preserve">New engine run → continue / new formula / escalate. A phase change always triggers a new run.</t>
  </si>
  <si>
    <t xml:space="preserve">MO-03</t>
  </si>
  <si>
    <t xml:space="preserve">Deficiency correction started</t>
  </si>
  <si>
    <t xml:space="preserve">Re-test date set by clinician (e.g. vitamin D 8–12 weeks).</t>
  </si>
  <si>
    <t xml:space="preserve">LP-01</t>
  </si>
  <si>
    <t xml:space="preserve">Later pathways (guard rails)</t>
  </si>
  <si>
    <t xml:space="preserve">F3</t>
  </si>
  <si>
    <t xml:space="preserve">Low AMH/AFC, DOR or POI entered</t>
  </si>
  <si>
    <t xml:space="preserve">Specialist pathway (fertility preservation / ART). Nutrition optimisation only; G-13 applies. Full rules in V2.</t>
  </si>
  <si>
    <t xml:space="preserve">S13</t>
  </si>
  <si>
    <t xml:space="preserve">LP-02</t>
  </si>
  <si>
    <t xml:space="preserve">F4</t>
  </si>
  <si>
    <t xml:space="preserve">Endometriosis entered</t>
  </si>
  <si>
    <t xml:space="preserve">Treatment decisions follow ESHRE endometriosis pathway (specialist). Nutrition = adequacy, GI tolerance, iron status. No "anti-inflammatory cure" claims. Full rules in V2.</t>
  </si>
  <si>
    <t xml:space="preserve">S11</t>
  </si>
  <si>
    <t xml:space="preserve">LP-03</t>
  </si>
  <si>
    <t xml:space="preserve">F11</t>
  </si>
  <si>
    <t xml:space="preserve">Two or more pregnancy losses</t>
  </si>
  <si>
    <t xml:space="preserve">Specialist RPL evaluation. Engine never attributes loss to nutrition. Full rules in V2.</t>
  </si>
  <si>
    <t xml:space="preserve">S12</t>
  </si>
  <si>
    <t xml:space="preserve">Blocked claim (never shown or printed)</t>
  </si>
  <si>
    <t xml:space="preserve">Possible permitted wording*</t>
  </si>
  <si>
    <t xml:space="preserve">Comments</t>
  </si>
  <si>
    <t xml:space="preserve">improves egg quality</t>
  </si>
  <si>
    <t xml:space="preserve">Supports nutritional adequacy during fertility treatment*</t>
  </si>
  <si>
    <t xml:space="preserve">increases AMH / ovarian reserve</t>
  </si>
  <si>
    <t xml:space="preserve">— (no permitted alternative; G-13)</t>
  </si>
  <si>
    <t xml:space="preserve">improves implantation</t>
  </si>
  <si>
    <t xml:space="preserve">increases IVF success / pregnancy rate</t>
  </si>
  <si>
    <t xml:space="preserve">prevents miscarriage</t>
  </si>
  <si>
    <t xml:space="preserve">improves embryo quality</t>
  </si>
  <si>
    <t xml:space="preserve">increases live birth</t>
  </si>
  <si>
    <t xml:space="preserve">treats / cures PCOS</t>
  </si>
  <si>
    <t xml:space="preserve">Supports a healthy lifestyle for women with PCOS*</t>
  </si>
  <si>
    <t xml:space="preserve">treats endometriosis</t>
  </si>
  <si>
    <t xml:space="preserve">treats / cures infertility</t>
  </si>
  <si>
    <t xml:space="preserve">boosts sperm count / motility / testosterone</t>
  </si>
  <si>
    <t xml:space="preserve">Supports general nutrition for men planning a family*</t>
  </si>
  <si>
    <t xml:space="preserve">"fertility booster", "miracle", "guaranteed"</t>
  </si>
  <si>
    <t xml:space="preserve">* Any permitted wording also needs regulatory review (FSSAI health-supplement claims rules, S18) before use on a label or patient screen. A blocked claim may be unlocked only with specific clinical evidence AND regulatory approval of the exact words (rule G-08).</t>
  </si>
  <si>
    <t xml:space="preserve">Assessment field</t>
  </si>
  <si>
    <t xml:space="preserve">Unit / format</t>
  </si>
  <si>
    <t xml:space="preserve">Female / Male / Both</t>
  </si>
  <si>
    <t xml:space="preserve">Required in V1?</t>
  </si>
  <si>
    <t xml:space="preserve">Used by rules</t>
  </si>
  <si>
    <t xml:space="preserve">Age</t>
  </si>
  <si>
    <t xml:space="preserve">years</t>
  </si>
  <si>
    <t xml:space="preserve">Yes</t>
  </si>
  <si>
    <t xml:space="preserve">G-12, G-13</t>
  </si>
  <si>
    <t xml:space="preserve">Height / weight / BMI</t>
  </si>
  <si>
    <t xml:space="preserve">cm, kg (BMI calculated)</t>
  </si>
  <si>
    <t xml:space="preserve">NP-03, NP-04, RF-01, F2-03/04</t>
  </si>
  <si>
    <t xml:space="preserve">Weight 3 months ago</t>
  </si>
  <si>
    <t xml:space="preserve">kg</t>
  </si>
  <si>
    <t xml:space="preserve">Recommended</t>
  </si>
  <si>
    <t xml:space="preserve">Months trying to conceive</t>
  </si>
  <si>
    <t xml:space="preserve">months</t>
  </si>
  <si>
    <t xml:space="preserve">Treatment phase</t>
  </si>
  <si>
    <t xml:space="preserve">F0 / F2 / F6 / F7 / F8 / F9 (+ dates)</t>
  </si>
  <si>
    <t xml:space="preserve">Selects rule set; MO-02</t>
  </si>
  <si>
    <t xml:space="preserve">Cycle length / regularity / ovulation</t>
  </si>
  <si>
    <t xml:space="preserve">days; regular/irregular/absent</t>
  </si>
  <si>
    <t xml:space="preserve">RF-01, F2</t>
  </si>
  <si>
    <t xml:space="preserve">Diagnoses: PCOS, endometriosis, DOR/POI, thyroid, diabetes</t>
  </si>
  <si>
    <t xml:space="preserve">clinician-entered yes/no + date</t>
  </si>
  <si>
    <t xml:space="preserve">F2-01, LP-01..03, RF-02/03</t>
  </si>
  <si>
    <t xml:space="preserve">AMH / AFC</t>
  </si>
  <si>
    <t xml:space="preserve">ng/mL; count</t>
  </si>
  <si>
    <t xml:space="preserve">If available</t>
  </si>
  <si>
    <t xml:space="preserve">G-13, LP-01</t>
  </si>
  <si>
    <t xml:space="preserve">Previous pregnancies / miscarriages / IVF-IUI cycles</t>
  </si>
  <si>
    <t xml:space="preserve">counts</t>
  </si>
  <si>
    <t xml:space="preserve">Stimulation: start date, protocol, day</t>
  </si>
  <si>
    <t xml:space="preserve">date; text</t>
  </si>
  <si>
    <t xml:space="preserve">When F7</t>
  </si>
  <si>
    <t xml:space="preserve">Retrieval: date, oocytes, mature, fertilised</t>
  </si>
  <si>
    <t xml:space="preserve">date; counts</t>
  </si>
  <si>
    <t xml:space="preserve">When F8</t>
  </si>
  <si>
    <t xml:space="preserve">Transfer date; pregnancy test result</t>
  </si>
  <si>
    <t xml:space="preserve">date; pos/neg/pending</t>
  </si>
  <si>
    <t xml:space="preserve">When F9</t>
  </si>
  <si>
    <t xml:space="preserve">F9-01, F9-05/06, G-06</t>
  </si>
  <si>
    <t xml:space="preserve">Symptoms (bloating, pain, vomiting, breathlessness, urine output)</t>
  </si>
  <si>
    <t xml:space="preserve">checklist</t>
  </si>
  <si>
    <t xml:space="preserve">When F7/F8</t>
  </si>
  <si>
    <t xml:space="preserve">RF-05, RF-11</t>
  </si>
  <si>
    <t xml:space="preserve">Semen analysis: date, volume, concentration, total count, total &amp; progressive motility, morphology, vitality</t>
  </si>
  <si>
    <t xml:space="preserve">WHO 2021 units</t>
  </si>
  <si>
    <t xml:space="preserve">Yes (male)</t>
  </si>
  <si>
    <t xml:space="preserve">M-01..M-05, RF-08</t>
  </si>
  <si>
    <t xml:space="preserve">Varicocele / testosterone or anabolic-steroid use / heat exposure</t>
  </si>
  <si>
    <t xml:space="preserve">yes/no</t>
  </si>
  <si>
    <t xml:space="preserve">RF-07, M-07</t>
  </si>
  <si>
    <t xml:space="preserve">Labs: Hb, ferritin, HbA1c, fasting glucose, TSH, prolactin, vitamin D, B12, folate</t>
  </si>
  <si>
    <t xml:space="preserve">value + unit + ref range + date</t>
  </si>
  <si>
    <t xml:space="preserve">G-09, NP-05..07, NP-10, RF-02..04, RF-09</t>
  </si>
  <si>
    <t xml:space="preserve">Current medicines</t>
  </si>
  <si>
    <t xml:space="preserve">name, dose</t>
  </si>
  <si>
    <t xml:space="preserve">G-10, RF-10, F2-08</t>
  </si>
  <si>
    <t xml:space="preserve">Current supplements</t>
  </si>
  <si>
    <t xml:space="preserve">F6-05, IS-03</t>
  </si>
  <si>
    <t xml:space="preserve">Diet pattern</t>
  </si>
  <si>
    <t xml:space="preserve">vegetarian / non-veg / vegan / Jain / egg</t>
  </si>
  <si>
    <t xml:space="preserve">NP-08, IS-04</t>
  </si>
  <si>
    <t xml:space="preserve">Food allergies / intolerances</t>
  </si>
  <si>
    <t xml:space="preserve">list</t>
  </si>
  <si>
    <t xml:space="preserve">Estimated energy &amp; protein intake</t>
  </si>
  <si>
    <t xml:space="preserve">kcal/day; g/day (dietitian or recall)</t>
  </si>
  <si>
    <t xml:space="preserve">NP-01, NP-02</t>
  </si>
  <si>
    <t xml:space="preserve">Diet quality / ultra-processed food</t>
  </si>
  <si>
    <t xml:space="preserve">score / frequency</t>
  </si>
  <si>
    <t xml:space="preserve">Physical activity, sleep</t>
  </si>
  <si>
    <t xml:space="preserve">min/week; hours</t>
  </si>
  <si>
    <t xml:space="preserve">F0-09, F2-10</t>
  </si>
  <si>
    <t xml:space="preserve">Smoking, alcohol, caffeine</t>
  </si>
  <si>
    <t xml:space="preserve">yes/no; units; mg/day</t>
  </si>
  <si>
    <t xml:space="preserve">F0-03..05, M-07</t>
  </si>
  <si>
    <t xml:space="preserve">Eating-disorder screen</t>
  </si>
  <si>
    <t xml:space="preserve">clinician-entered result</t>
  </si>
  <si>
    <t xml:space="preserve">When PCOS or low BMI</t>
  </si>
  <si>
    <t xml:space="preserve">RF-12, F2-09</t>
  </si>
  <si>
    <t xml:space="preserve">Ingredient ID</t>
  </si>
  <si>
    <t xml:space="preserve">Ingredient name</t>
  </si>
  <si>
    <t xml:space="preserve">Form / source (e.g. methylfolate, whey, pea)</t>
  </si>
  <si>
    <t xml:space="preserve">Diet suitability (veg / vegan / Jain)</t>
  </si>
  <si>
    <t xml:space="preserve">Intended purpose</t>
  </si>
  <si>
    <t xml:space="preserve">Evidence level (A–D)</t>
  </si>
  <si>
    <t xml:space="preserve">Max dose — preconception</t>
  </si>
  <si>
    <t xml:space="preserve">Max dose — stimulation</t>
  </si>
  <si>
    <t xml:space="preserve">Max dose — pregnancy-pending</t>
  </si>
  <si>
    <t xml:space="preserve">Unit</t>
  </si>
  <si>
    <t xml:space="preserve">Pregnancy safety</t>
  </si>
  <si>
    <t xml:space="preserve">Medicine interactions</t>
  </si>
  <si>
    <t xml:space="preserve">Contraindications</t>
  </si>
  <si>
    <t xml:space="preserve">Renal / hepatic notes</t>
  </si>
  <si>
    <t xml:space="preserve">Clinician approval required? (Y/N)</t>
  </si>
  <si>
    <t xml:space="preserve">Last evidence review date</t>
  </si>
  <si>
    <t xml:space="preserve">ING-001</t>
  </si>
  <si>
    <t xml:space="preserve">Folic acid</t>
  </si>
  <si>
    <t xml:space="preserve">Veg / vegan / Jain</t>
  </si>
  <si>
    <t xml:space="preserve">Preconception NTD risk reduction</t>
  </si>
  <si>
    <t xml:space="preserve">400 µg (high dose only by physician)</t>
  </si>
  <si>
    <t xml:space="preserve">400 µg</t>
  </si>
  <si>
    <t xml:space="preserve">Per obstetric plan</t>
  </si>
  <si>
    <t xml:space="preserve">µg/day</t>
  </si>
  <si>
    <t xml:space="preserve">e.g. some antiepileptics, methotrexate — check</t>
  </si>
  <si>
    <t xml:space="preserve">N (standard dose)</t>
  </si>
  <si>
    <t xml:space="preserve">EXAMPLE — to be completed</t>
  </si>
  <si>
    <t xml:space="preserve">Row 2 (grey) is an example only. Every ingredient must have every field filled before the engine may use it (rule IS-01). Doses are placeholders to be set by the clinical team against ICMR-NIN 2020 limits (S9).</t>
  </si>
  <si>
    <t xml:space="preserve">Source ID</t>
  </si>
  <si>
    <t xml:space="preserve">Reference</t>
  </si>
  <si>
    <t xml:space="preserve">Year</t>
  </si>
  <si>
    <t xml:space="preserve">Link</t>
  </si>
  <si>
    <t xml:space="preserve">Verified current version? (reviewer)</t>
  </si>
  <si>
    <t xml:space="preserve">ASRM Practice Committee. Optimizing natural fertility: a committee opinion.</t>
  </si>
  <si>
    <t xml:space="preserve">2021</t>
  </si>
  <si>
    <t xml:space="preserve">https://www.asrm.org/practice-guidance/practice-committee-documents/optimizing-natural-fertility-a-committee-opinion-2021/</t>
  </si>
  <si>
    <t xml:space="preserve">ASRM Practice Committee. Fertility evaluation of infertile women: a committee opinion.</t>
  </si>
  <si>
    <t xml:space="preserve">https://www.asrm.org/practice-guidance/practice-committee-documents/fertility-evaluation-of-infertile-women-a-committee-opinion-2021/</t>
  </si>
  <si>
    <t xml:space="preserve">International Evidence-based Guideline for the Assessment and Management of Polycystic Ovary Syndrome (Monash / ESHRE / ASRM).</t>
  </si>
  <si>
    <t xml:space="preserve">2023</t>
  </si>
  <si>
    <t xml:space="preserve">https://www.monash.edu/__data/assets/pdf_file/0003/3379521/Evidence-Based-Guidelines-2023.pdf</t>
  </si>
  <si>
    <t xml:space="preserve">S4</t>
  </si>
  <si>
    <t xml:space="preserve">ESHRE. Good practice recommendations on add-ons in reproductive medicine.</t>
  </si>
  <si>
    <t xml:space="preserve">https://www.eshre.eu/Guidelines-and-Legal</t>
  </si>
  <si>
    <t xml:space="preserve">ESHRE guideline: Ovarian stimulation for IVF/ICSI (current version).</t>
  </si>
  <si>
    <t xml:space="preserve">WHO laboratory manual for the examination and processing of human semen, 6th edition.</t>
  </si>
  <si>
    <t xml:space="preserve">https://www.who.int/publications/i/item/9789240030787</t>
  </si>
  <si>
    <t xml:space="preserve">S7</t>
  </si>
  <si>
    <t xml:space="preserve">Steiner AZ et al. The effect of antioxidants on male factor infertility: the Males, Antioxidants, and Infertility (MOXI) randomized clinical trial. Fertil Steril.</t>
  </si>
  <si>
    <t xml:space="preserve">2020</t>
  </si>
  <si>
    <t xml:space="preserve">S8</t>
  </si>
  <si>
    <t xml:space="preserve">Schisterman EF et al. Effect of folic acid and zinc supplementation in men on semen quality and live birth among couples undergoing infertility treatment (FAZST). JAMA.</t>
  </si>
  <si>
    <t xml:space="preserve">ICMR–NIN. Nutrient Requirements for Indians (RDA / EAR / TUL).</t>
  </si>
  <si>
    <t xml:space="preserve">https://www.nin.res.in/</t>
  </si>
  <si>
    <t xml:space="preserve">WHO Expert Consultation. Appropriate body-mass index for Asian populations. Lancet.</t>
  </si>
  <si>
    <t xml:space="preserve">2004</t>
  </si>
  <si>
    <t xml:space="preserve">ESHRE guideline: Endometriosis.</t>
  </si>
  <si>
    <t xml:space="preserve">2022</t>
  </si>
  <si>
    <t xml:space="preserve">https://www.eshre.eu/Guidelines-and-Legal/Guidelines/Endometriosis-Guideline</t>
  </si>
  <si>
    <t xml:space="preserve">ESHRE guideline: Recurrent pregnancy loss.</t>
  </si>
  <si>
    <t xml:space="preserve">https://www.eshre.eu/Guidelines-and-Legal/Guidelines/Recurrent-pregnancy-loss</t>
  </si>
  <si>
    <t xml:space="preserve">ESHRE guideline: Premature ovarian insufficiency (check for latest update).</t>
  </si>
  <si>
    <t xml:space="preserve">American Diabetes Association. Standards of Care in Diabetes — diagnosis and classification (current year).</t>
  </si>
  <si>
    <t xml:space="preserve">https://diabetesjournals.org/care</t>
  </si>
  <si>
    <t xml:space="preserve">WHO guidelines on physical activity and sedentary behaviour.</t>
  </si>
  <si>
    <t xml:space="preserve">https://www.who.int/publications/i/item/9789240015128</t>
  </si>
  <si>
    <t xml:space="preserve">National obstetric guidance on high-dose folic acid for high NTD risk (e.g. RCOG / ACOG / FOGSI — clinic to choose reference).</t>
  </si>
  <si>
    <t xml:space="preserve">S17</t>
  </si>
  <si>
    <t xml:space="preserve">ICMR National ART guidelines; Assisted Reproductive Technology (Regulation) Act.</t>
  </si>
  <si>
    <t xml:space="preserve">FSSAI Food Safety and Standards (Health Supplements, Nutraceuticals, …) Regulations and claims regulations (current amendments).</t>
  </si>
  <si>
    <t xml:space="preserve">https://www.fssai.gov.in/</t>
  </si>
  <si>
    <t xml:space="preserve">WHO guideline on haemoglobin cut-offs to define anaemia.</t>
  </si>
  <si>
    <t xml:space="preserve">2024</t>
  </si>
</sst>
</file>

<file path=xl/styles.xml><?xml version="1.0" encoding="utf-8"?>
<styleSheet xmlns="http://schemas.openxmlformats.org/spreadsheetml/2006/main">
  <numFmts count="3">
    <numFmt numFmtId="164" formatCode="General"/>
    <numFmt numFmtId="165" formatCode="General"/>
    <numFmt numFmtId="166" formatCode="dd\-mmm\-yyyy"/>
  </numFmts>
  <fonts count="11">
    <font>
      <sz val="11"/>
      <color theme="1"/>
      <name val="Calibri"/>
      <family val="2"/>
      <charset val="1"/>
    </font>
    <font>
      <sz val="10"/>
      <name val="Arial"/>
      <family val="0"/>
    </font>
    <font>
      <sz val="10"/>
      <name val="Arial"/>
      <family val="0"/>
    </font>
    <font>
      <sz val="10"/>
      <name val="Arial"/>
      <family val="0"/>
    </font>
    <font>
      <b val="true"/>
      <sz val="16"/>
      <color rgb="FF25716F"/>
      <name val="Arial"/>
      <family val="0"/>
      <charset val="1"/>
    </font>
    <font>
      <b val="true"/>
      <sz val="10"/>
      <name val="Arial"/>
      <family val="0"/>
      <charset val="1"/>
    </font>
    <font>
      <sz val="10"/>
      <name val="Arial"/>
      <family val="0"/>
      <charset val="1"/>
    </font>
    <font>
      <b val="true"/>
      <sz val="11"/>
      <color rgb="FF25716F"/>
      <name val="Arial"/>
      <family val="0"/>
      <charset val="1"/>
    </font>
    <font>
      <b val="true"/>
      <sz val="10"/>
      <color rgb="FFFFFFFF"/>
      <name val="Arial"/>
      <family val="0"/>
      <charset val="1"/>
    </font>
    <font>
      <i val="true"/>
      <sz val="9"/>
      <name val="Arial"/>
      <family val="0"/>
      <charset val="1"/>
    </font>
    <font>
      <i val="true"/>
      <sz val="10"/>
      <color rgb="FF595959"/>
      <name val="Arial"/>
      <family val="0"/>
      <charset val="1"/>
    </font>
  </fonts>
  <fills count="8">
    <fill>
      <patternFill patternType="none"/>
    </fill>
    <fill>
      <patternFill patternType="gray125"/>
    </fill>
    <fill>
      <patternFill patternType="solid">
        <fgColor rgb="FFFFF2CC"/>
        <bgColor rgb="FFFCE5CD"/>
      </patternFill>
    </fill>
    <fill>
      <patternFill patternType="solid">
        <fgColor rgb="FF25716F"/>
        <bgColor rgb="FF008080"/>
      </patternFill>
    </fill>
    <fill>
      <patternFill patternType="solid">
        <fgColor rgb="FFF4CCCC"/>
        <bgColor rgb="FFD9D9D9"/>
      </patternFill>
    </fill>
    <fill>
      <patternFill patternType="solid">
        <fgColor rgb="FFFCE5CD"/>
        <bgColor rgb="FFFFF2CC"/>
      </patternFill>
    </fill>
    <fill>
      <patternFill patternType="solid">
        <fgColor rgb="FFD9EAD3"/>
        <bgColor rgb="FFD9D9D9"/>
      </patternFill>
    </fill>
    <fill>
      <patternFill patternType="solid">
        <fgColor rgb="FFF2F2F2"/>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6" fontId="6" fillId="2"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25716F"/>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4CCCC"/>
          <bgColor rgb="FF000000"/>
        </patternFill>
      </fill>
    </dxf>
    <dxf>
      <fill>
        <patternFill patternType="solid">
          <fgColor rgb="FFFCE5C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5716F"/>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5"/>
  </cols>
  <sheetData>
    <row r="1" customFormat="false" ht="19.7" hidden="false" customHeight="false" outlineLevel="0" collapsed="false">
      <c r="A1" s="1" t="s">
        <v>0</v>
      </c>
    </row>
    <row r="2" customFormat="false" ht="15" hidden="false" customHeight="false" outlineLevel="0" collapsed="false">
      <c r="A2" s="2" t="s">
        <v>1</v>
      </c>
      <c r="B2" s="3" t="s">
        <v>2</v>
      </c>
    </row>
    <row r="3" customFormat="false" ht="23.85" hidden="false" customHeight="false" outlineLevel="0" collapsed="false">
      <c r="A3" s="2" t="s">
        <v>3</v>
      </c>
      <c r="B3" s="3" t="s">
        <v>4</v>
      </c>
    </row>
    <row r="4" customFormat="false" ht="23.85" hidden="false" customHeight="false" outlineLevel="0" collapsed="false">
      <c r="A4" s="2" t="s">
        <v>5</v>
      </c>
      <c r="B4" s="3" t="s">
        <v>6</v>
      </c>
    </row>
    <row r="5" customFormat="false" ht="35.05" hidden="false" customHeight="false" outlineLevel="0" collapsed="false">
      <c r="A5" s="2" t="s">
        <v>7</v>
      </c>
      <c r="B5" s="3" t="s">
        <v>8</v>
      </c>
    </row>
    <row r="6" customFormat="false" ht="15" hidden="false" customHeight="false" outlineLevel="0" collapsed="false">
      <c r="A6" s="4" t="s">
        <v>9</v>
      </c>
      <c r="B6" s="3" t="s">
        <v>10</v>
      </c>
    </row>
    <row r="7" customFormat="false" ht="15" hidden="false" customHeight="false" outlineLevel="0" collapsed="false">
      <c r="A7" s="2"/>
      <c r="B7" s="3"/>
    </row>
    <row r="8" customFormat="false" ht="15" hidden="false" customHeight="false" outlineLevel="0" collapsed="false">
      <c r="A8" s="5" t="s">
        <v>11</v>
      </c>
    </row>
    <row r="9" customFormat="false" ht="15" hidden="false" customHeight="false" outlineLevel="0" collapsed="false">
      <c r="A9" s="2" t="s">
        <v>12</v>
      </c>
      <c r="B9" s="3" t="s">
        <v>13</v>
      </c>
    </row>
    <row r="10" customFormat="false" ht="15" hidden="false" customHeight="false" outlineLevel="0" collapsed="false">
      <c r="A10" s="2" t="s">
        <v>14</v>
      </c>
      <c r="B10" s="3" t="s">
        <v>15</v>
      </c>
    </row>
    <row r="11" customFormat="false" ht="15" hidden="false" customHeight="false" outlineLevel="0" collapsed="false">
      <c r="A11" s="2" t="s">
        <v>16</v>
      </c>
      <c r="B11" s="3" t="s">
        <v>17</v>
      </c>
    </row>
    <row r="12" customFormat="false" ht="15" hidden="false" customHeight="false" outlineLevel="0" collapsed="false">
      <c r="A12" s="2" t="s">
        <v>18</v>
      </c>
      <c r="B12" s="3" t="s">
        <v>19</v>
      </c>
    </row>
    <row r="13" customFormat="false" ht="15" hidden="false" customHeight="false" outlineLevel="0" collapsed="false">
      <c r="A13" s="2"/>
      <c r="B13" s="3"/>
    </row>
    <row r="14" customFormat="false" ht="15" hidden="false" customHeight="false" outlineLevel="0" collapsed="false">
      <c r="A14" s="5" t="s">
        <v>20</v>
      </c>
    </row>
    <row r="15" customFormat="false" ht="15" hidden="false" customHeight="false" outlineLevel="0" collapsed="false">
      <c r="A15" s="2" t="s">
        <v>21</v>
      </c>
      <c r="B15" s="3" t="s">
        <v>22</v>
      </c>
    </row>
    <row r="16" customFormat="false" ht="15" hidden="false" customHeight="false" outlineLevel="0" collapsed="false">
      <c r="A16" s="2" t="s">
        <v>23</v>
      </c>
      <c r="B16" s="3" t="s">
        <v>24</v>
      </c>
    </row>
    <row r="17" customFormat="false" ht="15" hidden="false" customHeight="false" outlineLevel="0" collapsed="false">
      <c r="A17" s="2" t="s">
        <v>25</v>
      </c>
      <c r="B17" s="3" t="s">
        <v>26</v>
      </c>
    </row>
    <row r="18" customFormat="false" ht="15" hidden="false" customHeight="false" outlineLevel="0" collapsed="false">
      <c r="A18" s="2" t="s">
        <v>27</v>
      </c>
      <c r="B18" s="3" t="s">
        <v>28</v>
      </c>
    </row>
    <row r="19" customFormat="false" ht="15" hidden="false" customHeight="false" outlineLevel="0" collapsed="false">
      <c r="A19" s="2" t="s">
        <v>29</v>
      </c>
      <c r="B19" s="3" t="s">
        <v>30</v>
      </c>
    </row>
    <row r="20" customFormat="false" ht="15" hidden="false" customHeight="false" outlineLevel="0" collapsed="false">
      <c r="A20" s="2"/>
      <c r="B20" s="3"/>
    </row>
    <row r="21" customFormat="false" ht="15" hidden="false" customHeight="false" outlineLevel="0" collapsed="false">
      <c r="A21" s="5" t="s">
        <v>31</v>
      </c>
    </row>
    <row r="22" customFormat="false" ht="23.85" hidden="false" customHeight="false" outlineLevel="0" collapsed="false">
      <c r="A22" s="2" t="s">
        <v>32</v>
      </c>
      <c r="B22" s="3" t="s">
        <v>33</v>
      </c>
    </row>
    <row r="23" customFormat="false" ht="15" hidden="false" customHeight="false" outlineLevel="0" collapsed="false">
      <c r="A23" s="2" t="s">
        <v>34</v>
      </c>
      <c r="B23" s="3" t="s">
        <v>35</v>
      </c>
    </row>
    <row r="24" customFormat="false" ht="35.05" hidden="false" customHeight="false" outlineLevel="0" collapsed="false">
      <c r="A24" s="2" t="s">
        <v>36</v>
      </c>
      <c r="B24" s="3" t="s">
        <v>37</v>
      </c>
    </row>
    <row r="25" customFormat="false" ht="15" hidden="false" customHeight="false" outlineLevel="0" collapsed="false">
      <c r="A25" s="2"/>
      <c r="B25" s="3"/>
    </row>
    <row r="26" customFormat="false" ht="15" hidden="false" customHeight="false" outlineLevel="0" collapsed="false">
      <c r="A26" s="5" t="s">
        <v>38</v>
      </c>
    </row>
    <row r="27" customFormat="false" ht="23.85" hidden="false" customHeight="false" outlineLevel="0" collapsed="false">
      <c r="A27" s="2" t="s">
        <v>39</v>
      </c>
      <c r="B27" s="3" t="s">
        <v>40</v>
      </c>
    </row>
    <row r="28" customFormat="false" ht="15" hidden="false" customHeight="false" outlineLevel="0" collapsed="false">
      <c r="A28" s="2"/>
      <c r="B28" s="3"/>
    </row>
    <row r="29" customFormat="false" ht="23.85" hidden="false" customHeight="false" outlineLevel="0" collapsed="false">
      <c r="A29" s="2" t="s">
        <v>41</v>
      </c>
      <c r="B29" s="3" t="s">
        <v>42</v>
      </c>
    </row>
    <row r="30" customFormat="false" ht="15" hidden="false" customHeight="false" outlineLevel="0" collapsed="false">
      <c r="A30" s="2"/>
      <c r="B30" s="3"/>
    </row>
    <row r="31" customFormat="false" ht="15" hidden="false" customHeight="false" outlineLevel="0" collapsed="false">
      <c r="A31" s="5" t="s">
        <v>43</v>
      </c>
    </row>
    <row r="32" customFormat="false" ht="15" hidden="false" customHeight="false" outlineLevel="0" collapsed="false">
      <c r="A32" s="6" t="s">
        <v>44</v>
      </c>
      <c r="B32" s="7" t="n">
        <f aca="false">COUNTA(Rules!A2:A500)</f>
        <v>96</v>
      </c>
    </row>
    <row r="33" customFormat="false" ht="15" hidden="false" customHeight="false" outlineLevel="0" collapsed="false">
      <c r="A33" s="6" t="s">
        <v>45</v>
      </c>
      <c r="B33" s="7" t="n">
        <f aca="false">COUNTIF(Rules!M2:M500,"Approve")</f>
        <v>0</v>
      </c>
    </row>
    <row r="34" customFormat="false" ht="15" hidden="false" customHeight="false" outlineLevel="0" collapsed="false">
      <c r="A34" s="6" t="s">
        <v>46</v>
      </c>
      <c r="B34" s="7" t="n">
        <f aca="false">COUNTIF(Rules!M2:M500,"Change")</f>
        <v>0</v>
      </c>
    </row>
    <row r="35" customFormat="false" ht="15" hidden="false" customHeight="false" outlineLevel="0" collapsed="false">
      <c r="A35" s="6" t="s">
        <v>47</v>
      </c>
      <c r="B35" s="7" t="n">
        <f aca="false">COUNTIF(Rules!M2:M500,"Reject")</f>
        <v>0</v>
      </c>
    </row>
    <row r="36" customFormat="false" ht="15" hidden="false" customHeight="false" outlineLevel="0" collapsed="false">
      <c r="A36" s="6" t="s">
        <v>48</v>
      </c>
      <c r="B36" s="7" t="n">
        <f aca="false">COUNTIF(Rules!N2:N500,"Approve")</f>
        <v>0</v>
      </c>
    </row>
    <row r="37" customFormat="false" ht="15" hidden="false" customHeight="false" outlineLevel="0" collapsed="false">
      <c r="A37" s="6" t="s">
        <v>49</v>
      </c>
      <c r="B37" s="7" t="n">
        <f aca="false">COUNTIF(Rules!N2:N500,"Change")</f>
        <v>0</v>
      </c>
    </row>
    <row r="38" customFormat="false" ht="15" hidden="false" customHeight="false" outlineLevel="0" collapsed="false">
      <c r="A38" s="6" t="s">
        <v>50</v>
      </c>
      <c r="B38" s="7" t="n">
        <f aca="false">COUNTIF(Rules!N2:N500,"Reject")</f>
        <v>0</v>
      </c>
    </row>
    <row r="39" customFormat="false" ht="15" hidden="false" customHeight="false" outlineLevel="0" collapsed="false">
      <c r="A39" s="6" t="s">
        <v>51</v>
      </c>
      <c r="B39" s="7" t="n">
        <f aca="false">COUNTIFS(Rules!M2:M500,"Approve",Rules!N2:N500,"Approve")</f>
        <v>0</v>
      </c>
    </row>
    <row r="40" customFormat="false" ht="15" hidden="false" customHeight="false" outlineLevel="0" collapsed="false">
      <c r="A40" s="6" t="s">
        <v>52</v>
      </c>
      <c r="B40" s="7" t="n">
        <f aca="false">SUMPRODUCT((Rules!A2:A500&lt;&gt;"")*((Rules!M2:M500="")+(Rules!N2:N500="")&gt;0))</f>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10"/>
    <col collapsed="false" customWidth="true" hidden="false" outlineLevel="0" max="4" min="4" style="0" width="9"/>
    <col collapsed="false" customWidth="true" hidden="false" outlineLevel="0" max="5" min="5" style="0" width="11"/>
    <col collapsed="false" customWidth="true" hidden="false" outlineLevel="0" max="6" min="6" style="0" width="42"/>
    <col collapsed="false" customWidth="true" hidden="false" outlineLevel="0" max="7" min="7" style="0" width="58"/>
    <col collapsed="false" customWidth="true" hidden="false" outlineLevel="0" max="8" min="8" style="0" width="10"/>
    <col collapsed="false" customWidth="true" hidden="false" outlineLevel="0" max="9" min="9" style="0" width="9"/>
    <col collapsed="false" customWidth="true" hidden="false" outlineLevel="0" max="10" min="10" style="0" width="10"/>
    <col collapsed="false" customWidth="true" hidden="false" outlineLevel="0" max="11" min="11" style="0" width="30"/>
    <col collapsed="false" customWidth="true" hidden="false" outlineLevel="0" max="12" min="12" style="0" width="10"/>
    <col collapsed="false" customWidth="true" hidden="false" outlineLevel="0" max="14" min="13" style="0" width="13"/>
    <col collapsed="false" customWidth="true" hidden="false" outlineLevel="0" max="15" min="15" style="0" width="36"/>
    <col collapsed="false" customWidth="true" hidden="false" outlineLevel="0" max="16" min="16" style="0" width="16"/>
    <col collapsed="false" customWidth="true" hidden="false" outlineLevel="0" max="17" min="17" style="0" width="12"/>
  </cols>
  <sheetData>
    <row r="1" customFormat="false" ht="31.5" hidden="false" customHeight="true" outlineLevel="0" collapsed="false">
      <c r="A1" s="8" t="s">
        <v>53</v>
      </c>
      <c r="B1" s="8" t="s">
        <v>54</v>
      </c>
      <c r="C1" s="8" t="s">
        <v>55</v>
      </c>
      <c r="D1" s="8" t="s">
        <v>56</v>
      </c>
      <c r="E1" s="8" t="s">
        <v>57</v>
      </c>
      <c r="F1" s="8" t="s">
        <v>58</v>
      </c>
      <c r="G1" s="8" t="s">
        <v>59</v>
      </c>
      <c r="H1" s="8" t="s">
        <v>60</v>
      </c>
      <c r="I1" s="8" t="s">
        <v>61</v>
      </c>
      <c r="J1" s="8" t="s">
        <v>62</v>
      </c>
      <c r="K1" s="8" t="s">
        <v>63</v>
      </c>
      <c r="L1" s="8" t="s">
        <v>64</v>
      </c>
      <c r="M1" s="8" t="s">
        <v>65</v>
      </c>
      <c r="N1" s="8" t="s">
        <v>66</v>
      </c>
      <c r="O1" s="8" t="s">
        <v>67</v>
      </c>
      <c r="P1" s="8" t="s">
        <v>68</v>
      </c>
      <c r="Q1" s="8" t="s">
        <v>69</v>
      </c>
    </row>
    <row r="2" customFormat="false" ht="35.05" hidden="false" customHeight="false" outlineLevel="0" collapsed="false">
      <c r="A2" s="9" t="s">
        <v>70</v>
      </c>
      <c r="B2" s="10" t="s">
        <v>71</v>
      </c>
      <c r="C2" s="10" t="s">
        <v>72</v>
      </c>
      <c r="D2" s="10" t="s">
        <v>73</v>
      </c>
      <c r="E2" s="10" t="s">
        <v>74</v>
      </c>
      <c r="F2" s="10" t="s">
        <v>75</v>
      </c>
      <c r="G2" s="10" t="s">
        <v>76</v>
      </c>
      <c r="H2" s="11" t="s">
        <v>18</v>
      </c>
      <c r="I2" s="10" t="s">
        <v>29</v>
      </c>
      <c r="J2" s="10" t="s">
        <v>77</v>
      </c>
      <c r="K2" s="10" t="s">
        <v>78</v>
      </c>
      <c r="L2" s="10" t="s">
        <v>79</v>
      </c>
      <c r="M2" s="12"/>
      <c r="N2" s="12"/>
      <c r="O2" s="12"/>
      <c r="P2" s="12"/>
      <c r="Q2" s="13"/>
    </row>
    <row r="3" customFormat="false" ht="23.85" hidden="false" customHeight="false" outlineLevel="0" collapsed="false">
      <c r="A3" s="9" t="s">
        <v>80</v>
      </c>
      <c r="B3" s="10" t="s">
        <v>71</v>
      </c>
      <c r="C3" s="10" t="s">
        <v>72</v>
      </c>
      <c r="D3" s="10" t="s">
        <v>73</v>
      </c>
      <c r="E3" s="10" t="s">
        <v>74</v>
      </c>
      <c r="F3" s="10" t="s">
        <v>81</v>
      </c>
      <c r="G3" s="10" t="s">
        <v>82</v>
      </c>
      <c r="H3" s="11" t="s">
        <v>18</v>
      </c>
      <c r="I3" s="10" t="s">
        <v>29</v>
      </c>
      <c r="J3" s="10" t="s">
        <v>29</v>
      </c>
      <c r="K3" s="10" t="s">
        <v>83</v>
      </c>
      <c r="L3" s="10" t="s">
        <v>79</v>
      </c>
      <c r="M3" s="12"/>
      <c r="N3" s="12"/>
      <c r="O3" s="12"/>
      <c r="P3" s="12"/>
      <c r="Q3" s="13"/>
    </row>
    <row r="4" customFormat="false" ht="23.85" hidden="false" customHeight="false" outlineLevel="0" collapsed="false">
      <c r="A4" s="9" t="s">
        <v>84</v>
      </c>
      <c r="B4" s="10" t="s">
        <v>71</v>
      </c>
      <c r="C4" s="10" t="s">
        <v>72</v>
      </c>
      <c r="D4" s="10" t="s">
        <v>73</v>
      </c>
      <c r="E4" s="10" t="s">
        <v>74</v>
      </c>
      <c r="F4" s="10" t="s">
        <v>85</v>
      </c>
      <c r="G4" s="10" t="s">
        <v>86</v>
      </c>
      <c r="H4" s="11" t="s">
        <v>18</v>
      </c>
      <c r="I4" s="10" t="s">
        <v>29</v>
      </c>
      <c r="J4" s="10" t="s">
        <v>29</v>
      </c>
      <c r="K4" s="10"/>
      <c r="L4" s="10" t="s">
        <v>79</v>
      </c>
      <c r="M4" s="12"/>
      <c r="N4" s="12"/>
      <c r="O4" s="12"/>
      <c r="P4" s="12"/>
      <c r="Q4" s="13"/>
    </row>
    <row r="5" customFormat="false" ht="23.85" hidden="false" customHeight="false" outlineLevel="0" collapsed="false">
      <c r="A5" s="9" t="s">
        <v>87</v>
      </c>
      <c r="B5" s="10" t="s">
        <v>71</v>
      </c>
      <c r="C5" s="10" t="s">
        <v>72</v>
      </c>
      <c r="D5" s="10" t="s">
        <v>73</v>
      </c>
      <c r="E5" s="10" t="s">
        <v>74</v>
      </c>
      <c r="F5" s="10" t="s">
        <v>88</v>
      </c>
      <c r="G5" s="10" t="s">
        <v>89</v>
      </c>
      <c r="H5" s="14" t="s">
        <v>16</v>
      </c>
      <c r="I5" s="10" t="s">
        <v>29</v>
      </c>
      <c r="J5" s="10" t="s">
        <v>29</v>
      </c>
      <c r="K5" s="10"/>
      <c r="L5" s="10" t="s">
        <v>79</v>
      </c>
      <c r="M5" s="12"/>
      <c r="N5" s="12"/>
      <c r="O5" s="12"/>
      <c r="P5" s="12"/>
      <c r="Q5" s="13"/>
    </row>
    <row r="6" customFormat="false" ht="23.85" hidden="false" customHeight="false" outlineLevel="0" collapsed="false">
      <c r="A6" s="9" t="s">
        <v>90</v>
      </c>
      <c r="B6" s="10" t="s">
        <v>71</v>
      </c>
      <c r="C6" s="10" t="s">
        <v>72</v>
      </c>
      <c r="D6" s="10" t="s">
        <v>73</v>
      </c>
      <c r="E6" s="10" t="s">
        <v>91</v>
      </c>
      <c r="F6" s="10" t="s">
        <v>92</v>
      </c>
      <c r="G6" s="10" t="s">
        <v>93</v>
      </c>
      <c r="H6" s="14" t="s">
        <v>16</v>
      </c>
      <c r="I6" s="10" t="s">
        <v>29</v>
      </c>
      <c r="J6" s="10" t="s">
        <v>29</v>
      </c>
      <c r="K6" s="10"/>
      <c r="L6" s="10" t="s">
        <v>79</v>
      </c>
      <c r="M6" s="12"/>
      <c r="N6" s="12"/>
      <c r="O6" s="12"/>
      <c r="P6" s="12"/>
      <c r="Q6" s="13"/>
    </row>
    <row r="7" customFormat="false" ht="35.05" hidden="false" customHeight="false" outlineLevel="0" collapsed="false">
      <c r="A7" s="9" t="s">
        <v>94</v>
      </c>
      <c r="B7" s="10" t="s">
        <v>71</v>
      </c>
      <c r="C7" s="10" t="s">
        <v>72</v>
      </c>
      <c r="D7" s="10" t="s">
        <v>95</v>
      </c>
      <c r="E7" s="10" t="s">
        <v>96</v>
      </c>
      <c r="F7" s="10" t="s">
        <v>97</v>
      </c>
      <c r="G7" s="10" t="s">
        <v>98</v>
      </c>
      <c r="H7" s="11" t="s">
        <v>18</v>
      </c>
      <c r="I7" s="10" t="s">
        <v>29</v>
      </c>
      <c r="J7" s="10" t="s">
        <v>29</v>
      </c>
      <c r="K7" s="10"/>
      <c r="L7" s="10" t="s">
        <v>79</v>
      </c>
      <c r="M7" s="12"/>
      <c r="N7" s="12"/>
      <c r="O7" s="12"/>
      <c r="P7" s="12"/>
      <c r="Q7" s="13"/>
    </row>
    <row r="8" customFormat="false" ht="23.85" hidden="false" customHeight="false" outlineLevel="0" collapsed="false">
      <c r="A8" s="9" t="s">
        <v>99</v>
      </c>
      <c r="B8" s="10" t="s">
        <v>71</v>
      </c>
      <c r="C8" s="10" t="s">
        <v>72</v>
      </c>
      <c r="D8" s="10" t="s">
        <v>73</v>
      </c>
      <c r="E8" s="10" t="s">
        <v>100</v>
      </c>
      <c r="F8" s="10" t="s">
        <v>101</v>
      </c>
      <c r="G8" s="10" t="s">
        <v>102</v>
      </c>
      <c r="H8" s="11" t="s">
        <v>18</v>
      </c>
      <c r="I8" s="10" t="s">
        <v>29</v>
      </c>
      <c r="J8" s="10" t="s">
        <v>29</v>
      </c>
      <c r="K8" s="10" t="s">
        <v>103</v>
      </c>
      <c r="L8" s="10" t="s">
        <v>79</v>
      </c>
      <c r="M8" s="12"/>
      <c r="N8" s="12"/>
      <c r="O8" s="12"/>
      <c r="P8" s="12"/>
      <c r="Q8" s="13"/>
    </row>
    <row r="9" customFormat="false" ht="23.85" hidden="false" customHeight="false" outlineLevel="0" collapsed="false">
      <c r="A9" s="9" t="s">
        <v>104</v>
      </c>
      <c r="B9" s="10" t="s">
        <v>71</v>
      </c>
      <c r="C9" s="10" t="s">
        <v>72</v>
      </c>
      <c r="D9" s="10" t="s">
        <v>73</v>
      </c>
      <c r="E9" s="10" t="s">
        <v>105</v>
      </c>
      <c r="F9" s="10" t="s">
        <v>106</v>
      </c>
      <c r="G9" s="10" t="s">
        <v>107</v>
      </c>
      <c r="H9" s="11" t="s">
        <v>18</v>
      </c>
      <c r="I9" s="10" t="s">
        <v>29</v>
      </c>
      <c r="J9" s="10" t="s">
        <v>108</v>
      </c>
      <c r="K9" s="10"/>
      <c r="L9" s="10" t="s">
        <v>79</v>
      </c>
      <c r="M9" s="12"/>
      <c r="N9" s="12"/>
      <c r="O9" s="12"/>
      <c r="P9" s="12"/>
      <c r="Q9" s="13"/>
    </row>
    <row r="10" customFormat="false" ht="57.45" hidden="false" customHeight="false" outlineLevel="0" collapsed="false">
      <c r="A10" s="9" t="s">
        <v>109</v>
      </c>
      <c r="B10" s="10" t="s">
        <v>71</v>
      </c>
      <c r="C10" s="10" t="s">
        <v>72</v>
      </c>
      <c r="D10" s="10" t="s">
        <v>73</v>
      </c>
      <c r="E10" s="10" t="s">
        <v>110</v>
      </c>
      <c r="F10" s="10" t="s">
        <v>111</v>
      </c>
      <c r="G10" s="10" t="s">
        <v>112</v>
      </c>
      <c r="H10" s="11" t="s">
        <v>18</v>
      </c>
      <c r="I10" s="10" t="s">
        <v>29</v>
      </c>
      <c r="J10" s="10" t="s">
        <v>29</v>
      </c>
      <c r="K10" s="10" t="s">
        <v>113</v>
      </c>
      <c r="L10" s="10" t="s">
        <v>79</v>
      </c>
      <c r="M10" s="12"/>
      <c r="N10" s="12"/>
      <c r="O10" s="12"/>
      <c r="P10" s="12"/>
      <c r="Q10" s="13"/>
    </row>
    <row r="11" customFormat="false" ht="23.85" hidden="false" customHeight="false" outlineLevel="0" collapsed="false">
      <c r="A11" s="9" t="s">
        <v>114</v>
      </c>
      <c r="B11" s="10" t="s">
        <v>71</v>
      </c>
      <c r="C11" s="10" t="s">
        <v>72</v>
      </c>
      <c r="D11" s="10" t="s">
        <v>73</v>
      </c>
      <c r="E11" s="10" t="s">
        <v>100</v>
      </c>
      <c r="F11" s="10" t="s">
        <v>115</v>
      </c>
      <c r="G11" s="10" t="s">
        <v>116</v>
      </c>
      <c r="H11" s="14" t="s">
        <v>16</v>
      </c>
      <c r="I11" s="10" t="s">
        <v>29</v>
      </c>
      <c r="J11" s="10" t="s">
        <v>29</v>
      </c>
      <c r="K11" s="10"/>
      <c r="L11" s="10" t="s">
        <v>79</v>
      </c>
      <c r="M11" s="12"/>
      <c r="N11" s="12"/>
      <c r="O11" s="12"/>
      <c r="P11" s="12"/>
      <c r="Q11" s="13"/>
    </row>
    <row r="12" customFormat="false" ht="23.85" hidden="false" customHeight="false" outlineLevel="0" collapsed="false">
      <c r="A12" s="9" t="s">
        <v>117</v>
      </c>
      <c r="B12" s="10" t="s">
        <v>71</v>
      </c>
      <c r="C12" s="10" t="s">
        <v>72</v>
      </c>
      <c r="D12" s="10" t="s">
        <v>73</v>
      </c>
      <c r="E12" s="10" t="s">
        <v>74</v>
      </c>
      <c r="F12" s="10" t="s">
        <v>118</v>
      </c>
      <c r="G12" s="10" t="s">
        <v>119</v>
      </c>
      <c r="H12" s="11" t="s">
        <v>18</v>
      </c>
      <c r="I12" s="10" t="s">
        <v>29</v>
      </c>
      <c r="J12" s="10" t="s">
        <v>120</v>
      </c>
      <c r="K12" s="10"/>
      <c r="L12" s="10" t="s">
        <v>79</v>
      </c>
      <c r="M12" s="12"/>
      <c r="N12" s="12"/>
      <c r="O12" s="12"/>
      <c r="P12" s="12"/>
      <c r="Q12" s="13"/>
    </row>
    <row r="13" customFormat="false" ht="23.85" hidden="false" customHeight="false" outlineLevel="0" collapsed="false">
      <c r="A13" s="9" t="s">
        <v>121</v>
      </c>
      <c r="B13" s="10" t="s">
        <v>71</v>
      </c>
      <c r="C13" s="10" t="s">
        <v>122</v>
      </c>
      <c r="D13" s="10" t="s">
        <v>95</v>
      </c>
      <c r="E13" s="10" t="s">
        <v>123</v>
      </c>
      <c r="F13" s="10" t="s">
        <v>124</v>
      </c>
      <c r="G13" s="10" t="s">
        <v>125</v>
      </c>
      <c r="H13" s="14" t="s">
        <v>16</v>
      </c>
      <c r="I13" s="10" t="s">
        <v>126</v>
      </c>
      <c r="J13" s="10" t="s">
        <v>120</v>
      </c>
      <c r="K13" s="10"/>
      <c r="L13" s="10" t="s">
        <v>79</v>
      </c>
      <c r="M13" s="12"/>
      <c r="N13" s="12"/>
      <c r="O13" s="12"/>
      <c r="P13" s="12"/>
      <c r="Q13" s="13"/>
    </row>
    <row r="14" customFormat="false" ht="23.85" hidden="false" customHeight="false" outlineLevel="0" collapsed="false">
      <c r="A14" s="9" t="s">
        <v>127</v>
      </c>
      <c r="B14" s="10" t="s">
        <v>71</v>
      </c>
      <c r="C14" s="10" t="s">
        <v>72</v>
      </c>
      <c r="D14" s="10" t="s">
        <v>95</v>
      </c>
      <c r="E14" s="10" t="s">
        <v>105</v>
      </c>
      <c r="F14" s="10" t="s">
        <v>128</v>
      </c>
      <c r="G14" s="10" t="s">
        <v>129</v>
      </c>
      <c r="H14" s="11" t="s">
        <v>18</v>
      </c>
      <c r="I14" s="10" t="s">
        <v>126</v>
      </c>
      <c r="J14" s="10" t="s">
        <v>130</v>
      </c>
      <c r="K14" s="10" t="s">
        <v>131</v>
      </c>
      <c r="L14" s="10" t="s">
        <v>79</v>
      </c>
      <c r="M14" s="12"/>
      <c r="N14" s="12"/>
      <c r="O14" s="12"/>
      <c r="P14" s="12"/>
      <c r="Q14" s="13"/>
    </row>
    <row r="15" customFormat="false" ht="35.05" hidden="false" customHeight="false" outlineLevel="0" collapsed="false">
      <c r="A15" s="9" t="s">
        <v>132</v>
      </c>
      <c r="B15" s="10" t="s">
        <v>71</v>
      </c>
      <c r="C15" s="10" t="s">
        <v>72</v>
      </c>
      <c r="D15" s="10" t="s">
        <v>73</v>
      </c>
      <c r="E15" s="10" t="s">
        <v>74</v>
      </c>
      <c r="F15" s="10" t="s">
        <v>133</v>
      </c>
      <c r="G15" s="10" t="s">
        <v>134</v>
      </c>
      <c r="H15" s="11" t="s">
        <v>18</v>
      </c>
      <c r="I15" s="10" t="s">
        <v>29</v>
      </c>
      <c r="J15" s="10" t="s">
        <v>29</v>
      </c>
      <c r="K15" s="10"/>
      <c r="L15" s="10" t="s">
        <v>79</v>
      </c>
      <c r="M15" s="12"/>
      <c r="N15" s="12"/>
      <c r="O15" s="12"/>
      <c r="P15" s="12"/>
      <c r="Q15" s="13"/>
    </row>
    <row r="16" customFormat="false" ht="35.05" hidden="false" customHeight="false" outlineLevel="0" collapsed="false">
      <c r="A16" s="9" t="s">
        <v>135</v>
      </c>
      <c r="B16" s="10" t="s">
        <v>91</v>
      </c>
      <c r="C16" s="10" t="s">
        <v>72</v>
      </c>
      <c r="D16" s="10" t="s">
        <v>95</v>
      </c>
      <c r="E16" s="10" t="s">
        <v>91</v>
      </c>
      <c r="F16" s="10" t="s">
        <v>136</v>
      </c>
      <c r="G16" s="10" t="s">
        <v>137</v>
      </c>
      <c r="H16" s="14" t="s">
        <v>16</v>
      </c>
      <c r="I16" s="10" t="s">
        <v>126</v>
      </c>
      <c r="J16" s="10" t="s">
        <v>138</v>
      </c>
      <c r="K16" s="10"/>
      <c r="L16" s="10" t="s">
        <v>79</v>
      </c>
      <c r="M16" s="12"/>
      <c r="N16" s="12"/>
      <c r="O16" s="12"/>
      <c r="P16" s="12"/>
      <c r="Q16" s="13"/>
    </row>
    <row r="17" customFormat="false" ht="23.85" hidden="false" customHeight="false" outlineLevel="0" collapsed="false">
      <c r="A17" s="9" t="s">
        <v>139</v>
      </c>
      <c r="B17" s="10" t="s">
        <v>91</v>
      </c>
      <c r="C17" s="10" t="s">
        <v>72</v>
      </c>
      <c r="D17" s="10" t="s">
        <v>73</v>
      </c>
      <c r="E17" s="10" t="s">
        <v>91</v>
      </c>
      <c r="F17" s="10" t="s">
        <v>140</v>
      </c>
      <c r="G17" s="10" t="s">
        <v>141</v>
      </c>
      <c r="H17" s="14" t="s">
        <v>16</v>
      </c>
      <c r="I17" s="10" t="s">
        <v>126</v>
      </c>
      <c r="J17" s="10" t="s">
        <v>142</v>
      </c>
      <c r="K17" s="10"/>
      <c r="L17" s="10" t="s">
        <v>79</v>
      </c>
      <c r="M17" s="12"/>
      <c r="N17" s="12"/>
      <c r="O17" s="12"/>
      <c r="P17" s="12"/>
      <c r="Q17" s="13"/>
    </row>
    <row r="18" customFormat="false" ht="23.85" hidden="false" customHeight="false" outlineLevel="0" collapsed="false">
      <c r="A18" s="9" t="s">
        <v>143</v>
      </c>
      <c r="B18" s="10" t="s">
        <v>91</v>
      </c>
      <c r="C18" s="10" t="s">
        <v>72</v>
      </c>
      <c r="D18" s="10" t="s">
        <v>95</v>
      </c>
      <c r="E18" s="10" t="s">
        <v>91</v>
      </c>
      <c r="F18" s="10" t="s">
        <v>144</v>
      </c>
      <c r="G18" s="10" t="s">
        <v>145</v>
      </c>
      <c r="H18" s="14" t="s">
        <v>16</v>
      </c>
      <c r="I18" s="10" t="s">
        <v>126</v>
      </c>
      <c r="J18" s="10" t="s">
        <v>146</v>
      </c>
      <c r="K18" s="10" t="s">
        <v>147</v>
      </c>
      <c r="L18" s="10" t="s">
        <v>79</v>
      </c>
      <c r="M18" s="12"/>
      <c r="N18" s="12"/>
      <c r="O18" s="12"/>
      <c r="P18" s="12"/>
      <c r="Q18" s="13"/>
    </row>
    <row r="19" customFormat="false" ht="15" hidden="false" customHeight="false" outlineLevel="0" collapsed="false">
      <c r="A19" s="9" t="s">
        <v>148</v>
      </c>
      <c r="B19" s="10" t="s">
        <v>91</v>
      </c>
      <c r="C19" s="10" t="s">
        <v>72</v>
      </c>
      <c r="D19" s="10" t="s">
        <v>95</v>
      </c>
      <c r="E19" s="10" t="s">
        <v>91</v>
      </c>
      <c r="F19" s="10" t="s">
        <v>149</v>
      </c>
      <c r="G19" s="10" t="s">
        <v>150</v>
      </c>
      <c r="H19" s="14" t="s">
        <v>16</v>
      </c>
      <c r="I19" s="10" t="s">
        <v>126</v>
      </c>
      <c r="J19" s="10" t="s">
        <v>146</v>
      </c>
      <c r="K19" s="10"/>
      <c r="L19" s="10" t="s">
        <v>79</v>
      </c>
      <c r="M19" s="12"/>
      <c r="N19" s="12"/>
      <c r="O19" s="12"/>
      <c r="P19" s="12"/>
      <c r="Q19" s="13"/>
    </row>
    <row r="20" customFormat="false" ht="46.25" hidden="false" customHeight="false" outlineLevel="0" collapsed="false">
      <c r="A20" s="9" t="s">
        <v>151</v>
      </c>
      <c r="B20" s="10" t="s">
        <v>91</v>
      </c>
      <c r="C20" s="10" t="s">
        <v>152</v>
      </c>
      <c r="D20" s="10" t="s">
        <v>95</v>
      </c>
      <c r="E20" s="10" t="s">
        <v>91</v>
      </c>
      <c r="F20" s="10" t="s">
        <v>153</v>
      </c>
      <c r="G20" s="10" t="s">
        <v>154</v>
      </c>
      <c r="H20" s="14" t="s">
        <v>16</v>
      </c>
      <c r="I20" s="10" t="s">
        <v>126</v>
      </c>
      <c r="J20" s="10" t="s">
        <v>155</v>
      </c>
      <c r="K20" s="10"/>
      <c r="L20" s="10" t="s">
        <v>79</v>
      </c>
      <c r="M20" s="12"/>
      <c r="N20" s="12"/>
      <c r="O20" s="12"/>
      <c r="P20" s="12"/>
      <c r="Q20" s="13"/>
    </row>
    <row r="21" customFormat="false" ht="23.85" hidden="false" customHeight="false" outlineLevel="0" collapsed="false">
      <c r="A21" s="9" t="s">
        <v>156</v>
      </c>
      <c r="B21" s="10" t="s">
        <v>91</v>
      </c>
      <c r="C21" s="10" t="s">
        <v>157</v>
      </c>
      <c r="D21" s="10" t="s">
        <v>95</v>
      </c>
      <c r="E21" s="10" t="s">
        <v>91</v>
      </c>
      <c r="F21" s="10" t="s">
        <v>158</v>
      </c>
      <c r="G21" s="10" t="s">
        <v>159</v>
      </c>
      <c r="H21" s="14" t="s">
        <v>16</v>
      </c>
      <c r="I21" s="10" t="s">
        <v>126</v>
      </c>
      <c r="J21" s="10" t="s">
        <v>29</v>
      </c>
      <c r="K21" s="10"/>
      <c r="L21" s="10" t="s">
        <v>79</v>
      </c>
      <c r="M21" s="12"/>
      <c r="N21" s="12"/>
      <c r="O21" s="12"/>
      <c r="P21" s="12"/>
      <c r="Q21" s="13"/>
    </row>
    <row r="22" customFormat="false" ht="15" hidden="false" customHeight="false" outlineLevel="0" collapsed="false">
      <c r="A22" s="9" t="s">
        <v>160</v>
      </c>
      <c r="B22" s="10" t="s">
        <v>91</v>
      </c>
      <c r="C22" s="10" t="s">
        <v>161</v>
      </c>
      <c r="D22" s="10" t="s">
        <v>162</v>
      </c>
      <c r="E22" s="10" t="s">
        <v>91</v>
      </c>
      <c r="F22" s="10" t="s">
        <v>163</v>
      </c>
      <c r="G22" s="10" t="s">
        <v>164</v>
      </c>
      <c r="H22" s="14" t="s">
        <v>16</v>
      </c>
      <c r="I22" s="10" t="s">
        <v>126</v>
      </c>
      <c r="J22" s="10" t="s">
        <v>165</v>
      </c>
      <c r="K22" s="10"/>
      <c r="L22" s="10" t="s">
        <v>79</v>
      </c>
      <c r="M22" s="12"/>
      <c r="N22" s="12"/>
      <c r="O22" s="12"/>
      <c r="P22" s="12"/>
      <c r="Q22" s="13"/>
    </row>
    <row r="23" customFormat="false" ht="23.85" hidden="false" customHeight="false" outlineLevel="0" collapsed="false">
      <c r="A23" s="9" t="s">
        <v>166</v>
      </c>
      <c r="B23" s="10" t="s">
        <v>91</v>
      </c>
      <c r="C23" s="10" t="s">
        <v>161</v>
      </c>
      <c r="D23" s="10" t="s">
        <v>162</v>
      </c>
      <c r="E23" s="10" t="s">
        <v>91</v>
      </c>
      <c r="F23" s="10" t="s">
        <v>167</v>
      </c>
      <c r="G23" s="10" t="s">
        <v>168</v>
      </c>
      <c r="H23" s="14" t="s">
        <v>16</v>
      </c>
      <c r="I23" s="10" t="s">
        <v>126</v>
      </c>
      <c r="J23" s="10" t="s">
        <v>165</v>
      </c>
      <c r="K23" s="10"/>
      <c r="L23" s="10" t="s">
        <v>79</v>
      </c>
      <c r="M23" s="12"/>
      <c r="N23" s="12"/>
      <c r="O23" s="12"/>
      <c r="P23" s="12"/>
      <c r="Q23" s="13"/>
    </row>
    <row r="24" customFormat="false" ht="23.85" hidden="false" customHeight="false" outlineLevel="0" collapsed="false">
      <c r="A24" s="9" t="s">
        <v>169</v>
      </c>
      <c r="B24" s="10" t="s">
        <v>91</v>
      </c>
      <c r="C24" s="10" t="s">
        <v>72</v>
      </c>
      <c r="D24" s="10" t="s">
        <v>73</v>
      </c>
      <c r="E24" s="10" t="s">
        <v>91</v>
      </c>
      <c r="F24" s="10" t="s">
        <v>170</v>
      </c>
      <c r="G24" s="10" t="s">
        <v>171</v>
      </c>
      <c r="H24" s="14" t="s">
        <v>16</v>
      </c>
      <c r="I24" s="10" t="s">
        <v>126</v>
      </c>
      <c r="J24" s="10" t="s">
        <v>172</v>
      </c>
      <c r="K24" s="10" t="s">
        <v>173</v>
      </c>
      <c r="L24" s="10" t="s">
        <v>79</v>
      </c>
      <c r="M24" s="12"/>
      <c r="N24" s="12"/>
      <c r="O24" s="12"/>
      <c r="P24" s="12"/>
      <c r="Q24" s="13"/>
    </row>
    <row r="25" customFormat="false" ht="35.05" hidden="false" customHeight="false" outlineLevel="0" collapsed="false">
      <c r="A25" s="9" t="s">
        <v>174</v>
      </c>
      <c r="B25" s="10" t="s">
        <v>91</v>
      </c>
      <c r="C25" s="10" t="s">
        <v>72</v>
      </c>
      <c r="D25" s="10" t="s">
        <v>73</v>
      </c>
      <c r="E25" s="10" t="s">
        <v>91</v>
      </c>
      <c r="F25" s="10" t="s">
        <v>175</v>
      </c>
      <c r="G25" s="10" t="s">
        <v>176</v>
      </c>
      <c r="H25" s="14" t="s">
        <v>16</v>
      </c>
      <c r="I25" s="10" t="s">
        <v>126</v>
      </c>
      <c r="J25" s="10" t="s">
        <v>77</v>
      </c>
      <c r="K25" s="10" t="s">
        <v>177</v>
      </c>
      <c r="L25" s="10" t="s">
        <v>79</v>
      </c>
      <c r="M25" s="12"/>
      <c r="N25" s="12"/>
      <c r="O25" s="12"/>
      <c r="P25" s="12"/>
      <c r="Q25" s="13"/>
    </row>
    <row r="26" customFormat="false" ht="23.85" hidden="false" customHeight="false" outlineLevel="0" collapsed="false">
      <c r="A26" s="9" t="s">
        <v>178</v>
      </c>
      <c r="B26" s="10" t="s">
        <v>91</v>
      </c>
      <c r="C26" s="10" t="s">
        <v>179</v>
      </c>
      <c r="D26" s="10" t="s">
        <v>95</v>
      </c>
      <c r="E26" s="10" t="s">
        <v>91</v>
      </c>
      <c r="F26" s="10" t="s">
        <v>180</v>
      </c>
      <c r="G26" s="10" t="s">
        <v>181</v>
      </c>
      <c r="H26" s="14" t="s">
        <v>16</v>
      </c>
      <c r="I26" s="10" t="s">
        <v>126</v>
      </c>
      <c r="J26" s="10" t="s">
        <v>29</v>
      </c>
      <c r="K26" s="10"/>
      <c r="L26" s="10" t="s">
        <v>79</v>
      </c>
      <c r="M26" s="12"/>
      <c r="N26" s="12"/>
      <c r="O26" s="12"/>
      <c r="P26" s="12"/>
      <c r="Q26" s="13"/>
    </row>
    <row r="27" customFormat="false" ht="23.85" hidden="false" customHeight="false" outlineLevel="0" collapsed="false">
      <c r="A27" s="9" t="s">
        <v>182</v>
      </c>
      <c r="B27" s="10" t="s">
        <v>91</v>
      </c>
      <c r="C27" s="10" t="s">
        <v>72</v>
      </c>
      <c r="D27" s="10" t="s">
        <v>73</v>
      </c>
      <c r="E27" s="10" t="s">
        <v>91</v>
      </c>
      <c r="F27" s="10" t="s">
        <v>183</v>
      </c>
      <c r="G27" s="10" t="s">
        <v>184</v>
      </c>
      <c r="H27" s="14" t="s">
        <v>16</v>
      </c>
      <c r="I27" s="10" t="s">
        <v>126</v>
      </c>
      <c r="J27" s="10" t="s">
        <v>185</v>
      </c>
      <c r="K27" s="10"/>
      <c r="L27" s="10" t="s">
        <v>79</v>
      </c>
      <c r="M27" s="12"/>
      <c r="N27" s="12"/>
      <c r="O27" s="12"/>
      <c r="P27" s="12"/>
      <c r="Q27" s="13"/>
    </row>
    <row r="28" customFormat="false" ht="23.85" hidden="false" customHeight="false" outlineLevel="0" collapsed="false">
      <c r="A28" s="9" t="s">
        <v>186</v>
      </c>
      <c r="B28" s="10" t="s">
        <v>187</v>
      </c>
      <c r="C28" s="10" t="s">
        <v>72</v>
      </c>
      <c r="D28" s="10" t="s">
        <v>73</v>
      </c>
      <c r="E28" s="10" t="s">
        <v>188</v>
      </c>
      <c r="F28" s="10" t="s">
        <v>189</v>
      </c>
      <c r="G28" s="10" t="s">
        <v>190</v>
      </c>
      <c r="H28" s="15" t="s">
        <v>12</v>
      </c>
      <c r="I28" s="10" t="s">
        <v>126</v>
      </c>
      <c r="J28" s="10" t="s">
        <v>191</v>
      </c>
      <c r="K28" s="10"/>
      <c r="L28" s="10" t="s">
        <v>79</v>
      </c>
      <c r="M28" s="12"/>
      <c r="N28" s="12"/>
      <c r="O28" s="12"/>
      <c r="P28" s="12"/>
      <c r="Q28" s="13"/>
    </row>
    <row r="29" customFormat="false" ht="23.85" hidden="false" customHeight="false" outlineLevel="0" collapsed="false">
      <c r="A29" s="9" t="s">
        <v>192</v>
      </c>
      <c r="B29" s="10" t="s">
        <v>187</v>
      </c>
      <c r="C29" s="10" t="s">
        <v>72</v>
      </c>
      <c r="D29" s="10" t="s">
        <v>73</v>
      </c>
      <c r="E29" s="10" t="s">
        <v>188</v>
      </c>
      <c r="F29" s="10" t="s">
        <v>193</v>
      </c>
      <c r="G29" s="10" t="s">
        <v>194</v>
      </c>
      <c r="H29" s="15" t="s">
        <v>12</v>
      </c>
      <c r="I29" s="10" t="s">
        <v>126</v>
      </c>
      <c r="J29" s="10" t="s">
        <v>191</v>
      </c>
      <c r="K29" s="10"/>
      <c r="L29" s="10" t="s">
        <v>79</v>
      </c>
      <c r="M29" s="12"/>
      <c r="N29" s="12"/>
      <c r="O29" s="12"/>
      <c r="P29" s="12"/>
      <c r="Q29" s="13"/>
    </row>
    <row r="30" customFormat="false" ht="23.85" hidden="false" customHeight="false" outlineLevel="0" collapsed="false">
      <c r="A30" s="9" t="s">
        <v>195</v>
      </c>
      <c r="B30" s="10" t="s">
        <v>187</v>
      </c>
      <c r="C30" s="10" t="s">
        <v>72</v>
      </c>
      <c r="D30" s="10" t="s">
        <v>73</v>
      </c>
      <c r="E30" s="10" t="s">
        <v>188</v>
      </c>
      <c r="F30" s="10" t="s">
        <v>196</v>
      </c>
      <c r="G30" s="10" t="s">
        <v>197</v>
      </c>
      <c r="H30" s="12" t="s">
        <v>14</v>
      </c>
      <c r="I30" s="10" t="s">
        <v>126</v>
      </c>
      <c r="J30" s="10" t="s">
        <v>198</v>
      </c>
      <c r="K30" s="10" t="s">
        <v>199</v>
      </c>
      <c r="L30" s="10" t="s">
        <v>79</v>
      </c>
      <c r="M30" s="12"/>
      <c r="N30" s="12"/>
      <c r="O30" s="12"/>
      <c r="P30" s="12"/>
      <c r="Q30" s="13"/>
    </row>
    <row r="31" customFormat="false" ht="23.85" hidden="false" customHeight="false" outlineLevel="0" collapsed="false">
      <c r="A31" s="9" t="s">
        <v>200</v>
      </c>
      <c r="B31" s="10" t="s">
        <v>187</v>
      </c>
      <c r="C31" s="10" t="s">
        <v>72</v>
      </c>
      <c r="D31" s="10" t="s">
        <v>73</v>
      </c>
      <c r="E31" s="10" t="s">
        <v>188</v>
      </c>
      <c r="F31" s="10" t="s">
        <v>201</v>
      </c>
      <c r="G31" s="10" t="s">
        <v>202</v>
      </c>
      <c r="H31" s="15" t="s">
        <v>12</v>
      </c>
      <c r="I31" s="10" t="s">
        <v>126</v>
      </c>
      <c r="J31" s="10" t="s">
        <v>198</v>
      </c>
      <c r="K31" s="10"/>
      <c r="L31" s="10" t="s">
        <v>79</v>
      </c>
      <c r="M31" s="12"/>
      <c r="N31" s="12"/>
      <c r="O31" s="12"/>
      <c r="P31" s="12"/>
      <c r="Q31" s="13"/>
    </row>
    <row r="32" customFormat="false" ht="23.85" hidden="false" customHeight="false" outlineLevel="0" collapsed="false">
      <c r="A32" s="9" t="s">
        <v>203</v>
      </c>
      <c r="B32" s="10" t="s">
        <v>187</v>
      </c>
      <c r="C32" s="10" t="s">
        <v>72</v>
      </c>
      <c r="D32" s="10" t="s">
        <v>73</v>
      </c>
      <c r="E32" s="10" t="s">
        <v>188</v>
      </c>
      <c r="F32" s="10" t="s">
        <v>204</v>
      </c>
      <c r="G32" s="10" t="s">
        <v>205</v>
      </c>
      <c r="H32" s="12" t="s">
        <v>14</v>
      </c>
      <c r="I32" s="10" t="s">
        <v>126</v>
      </c>
      <c r="J32" s="10" t="s">
        <v>142</v>
      </c>
      <c r="K32" s="10"/>
      <c r="L32" s="10" t="s">
        <v>79</v>
      </c>
      <c r="M32" s="12"/>
      <c r="N32" s="12"/>
      <c r="O32" s="12"/>
      <c r="P32" s="12"/>
      <c r="Q32" s="13"/>
    </row>
    <row r="33" customFormat="false" ht="23.85" hidden="false" customHeight="false" outlineLevel="0" collapsed="false">
      <c r="A33" s="9" t="s">
        <v>206</v>
      </c>
      <c r="B33" s="10" t="s">
        <v>187</v>
      </c>
      <c r="C33" s="10" t="s">
        <v>72</v>
      </c>
      <c r="D33" s="10" t="s">
        <v>73</v>
      </c>
      <c r="E33" s="10" t="s">
        <v>188</v>
      </c>
      <c r="F33" s="10" t="s">
        <v>207</v>
      </c>
      <c r="G33" s="10" t="s">
        <v>208</v>
      </c>
      <c r="H33" s="14" t="s">
        <v>16</v>
      </c>
      <c r="I33" s="10" t="s">
        <v>126</v>
      </c>
      <c r="J33" s="10" t="s">
        <v>29</v>
      </c>
      <c r="K33" s="10" t="s">
        <v>209</v>
      </c>
      <c r="L33" s="10" t="s">
        <v>79</v>
      </c>
      <c r="M33" s="12"/>
      <c r="N33" s="12"/>
      <c r="O33" s="12"/>
      <c r="P33" s="12"/>
      <c r="Q33" s="13"/>
    </row>
    <row r="34" customFormat="false" ht="23.85" hidden="false" customHeight="false" outlineLevel="0" collapsed="false">
      <c r="A34" s="9" t="s">
        <v>210</v>
      </c>
      <c r="B34" s="10" t="s">
        <v>187</v>
      </c>
      <c r="C34" s="10" t="s">
        <v>72</v>
      </c>
      <c r="D34" s="10" t="s">
        <v>73</v>
      </c>
      <c r="E34" s="10" t="s">
        <v>188</v>
      </c>
      <c r="F34" s="10" t="s">
        <v>211</v>
      </c>
      <c r="G34" s="10" t="s">
        <v>212</v>
      </c>
      <c r="H34" s="12" t="s">
        <v>14</v>
      </c>
      <c r="I34" s="10" t="s">
        <v>213</v>
      </c>
      <c r="J34" s="10" t="s">
        <v>29</v>
      </c>
      <c r="K34" s="10"/>
      <c r="L34" s="10" t="s">
        <v>79</v>
      </c>
      <c r="M34" s="12"/>
      <c r="N34" s="12"/>
      <c r="O34" s="12"/>
      <c r="P34" s="12"/>
      <c r="Q34" s="13"/>
    </row>
    <row r="35" customFormat="false" ht="23.85" hidden="false" customHeight="false" outlineLevel="0" collapsed="false">
      <c r="A35" s="9" t="s">
        <v>214</v>
      </c>
      <c r="B35" s="10" t="s">
        <v>187</v>
      </c>
      <c r="C35" s="10" t="s">
        <v>72</v>
      </c>
      <c r="D35" s="10" t="s">
        <v>73</v>
      </c>
      <c r="E35" s="10" t="s">
        <v>188</v>
      </c>
      <c r="F35" s="10" t="s">
        <v>215</v>
      </c>
      <c r="G35" s="10" t="s">
        <v>216</v>
      </c>
      <c r="H35" s="12" t="s">
        <v>14</v>
      </c>
      <c r="I35" s="10" t="s">
        <v>213</v>
      </c>
      <c r="J35" s="10" t="s">
        <v>191</v>
      </c>
      <c r="K35" s="10"/>
      <c r="L35" s="10" t="s">
        <v>79</v>
      </c>
      <c r="M35" s="12"/>
      <c r="N35" s="12"/>
      <c r="O35" s="12"/>
      <c r="P35" s="12"/>
      <c r="Q35" s="13"/>
    </row>
    <row r="36" customFormat="false" ht="23.85" hidden="false" customHeight="false" outlineLevel="0" collapsed="false">
      <c r="A36" s="9" t="s">
        <v>217</v>
      </c>
      <c r="B36" s="10" t="s">
        <v>187</v>
      </c>
      <c r="C36" s="10" t="s">
        <v>72</v>
      </c>
      <c r="D36" s="10" t="s">
        <v>73</v>
      </c>
      <c r="E36" s="10" t="s">
        <v>188</v>
      </c>
      <c r="F36" s="10" t="s">
        <v>218</v>
      </c>
      <c r="G36" s="10" t="s">
        <v>219</v>
      </c>
      <c r="H36" s="15" t="s">
        <v>12</v>
      </c>
      <c r="I36" s="10" t="s">
        <v>213</v>
      </c>
      <c r="J36" s="10" t="s">
        <v>77</v>
      </c>
      <c r="K36" s="10"/>
      <c r="L36" s="10" t="s">
        <v>79</v>
      </c>
      <c r="M36" s="12"/>
      <c r="N36" s="12"/>
      <c r="O36" s="12"/>
      <c r="P36" s="12"/>
      <c r="Q36" s="13"/>
    </row>
    <row r="37" customFormat="false" ht="23.85" hidden="false" customHeight="false" outlineLevel="0" collapsed="false">
      <c r="A37" s="9" t="s">
        <v>220</v>
      </c>
      <c r="B37" s="10" t="s">
        <v>187</v>
      </c>
      <c r="C37" s="10" t="s">
        <v>72</v>
      </c>
      <c r="D37" s="10" t="s">
        <v>95</v>
      </c>
      <c r="E37" s="10" t="s">
        <v>188</v>
      </c>
      <c r="F37" s="10" t="s">
        <v>221</v>
      </c>
      <c r="G37" s="10" t="s">
        <v>222</v>
      </c>
      <c r="H37" s="14" t="s">
        <v>16</v>
      </c>
      <c r="I37" s="10" t="s">
        <v>126</v>
      </c>
      <c r="J37" s="10" t="s">
        <v>172</v>
      </c>
      <c r="K37" s="10"/>
      <c r="L37" s="10" t="s">
        <v>79</v>
      </c>
      <c r="M37" s="12"/>
      <c r="N37" s="12"/>
      <c r="O37" s="12"/>
      <c r="P37" s="12"/>
      <c r="Q37" s="13"/>
    </row>
    <row r="38" customFormat="false" ht="23.85" hidden="false" customHeight="false" outlineLevel="0" collapsed="false">
      <c r="A38" s="9" t="s">
        <v>223</v>
      </c>
      <c r="B38" s="10" t="s">
        <v>187</v>
      </c>
      <c r="C38" s="10" t="s">
        <v>72</v>
      </c>
      <c r="D38" s="10" t="s">
        <v>73</v>
      </c>
      <c r="E38" s="10" t="s">
        <v>188</v>
      </c>
      <c r="F38" s="10" t="s">
        <v>224</v>
      </c>
      <c r="G38" s="10" t="s">
        <v>225</v>
      </c>
      <c r="H38" s="15" t="s">
        <v>12</v>
      </c>
      <c r="I38" s="10" t="s">
        <v>29</v>
      </c>
      <c r="J38" s="10" t="s">
        <v>29</v>
      </c>
      <c r="K38" s="10" t="s">
        <v>226</v>
      </c>
      <c r="L38" s="10" t="s">
        <v>79</v>
      </c>
      <c r="M38" s="12"/>
      <c r="N38" s="12"/>
      <c r="O38" s="12"/>
      <c r="P38" s="12"/>
      <c r="Q38" s="13"/>
    </row>
    <row r="39" customFormat="false" ht="23.85" hidden="false" customHeight="false" outlineLevel="0" collapsed="false">
      <c r="A39" s="9" t="s">
        <v>227</v>
      </c>
      <c r="B39" s="10" t="s">
        <v>228</v>
      </c>
      <c r="C39" s="10" t="s">
        <v>229</v>
      </c>
      <c r="D39" s="10" t="s">
        <v>95</v>
      </c>
      <c r="E39" s="10" t="s">
        <v>230</v>
      </c>
      <c r="F39" s="10" t="s">
        <v>231</v>
      </c>
      <c r="G39" s="10" t="s">
        <v>232</v>
      </c>
      <c r="H39" s="15" t="s">
        <v>12</v>
      </c>
      <c r="I39" s="10" t="s">
        <v>126</v>
      </c>
      <c r="J39" s="10" t="s">
        <v>77</v>
      </c>
      <c r="K39" s="10"/>
      <c r="L39" s="10" t="s">
        <v>79</v>
      </c>
      <c r="M39" s="12"/>
      <c r="N39" s="12"/>
      <c r="O39" s="12"/>
      <c r="P39" s="12"/>
      <c r="Q39" s="13"/>
    </row>
    <row r="40" customFormat="false" ht="23.85" hidden="false" customHeight="false" outlineLevel="0" collapsed="false">
      <c r="A40" s="9" t="s">
        <v>233</v>
      </c>
      <c r="B40" s="10" t="s">
        <v>228</v>
      </c>
      <c r="C40" s="10" t="s">
        <v>229</v>
      </c>
      <c r="D40" s="10" t="s">
        <v>95</v>
      </c>
      <c r="E40" s="10" t="s">
        <v>91</v>
      </c>
      <c r="F40" s="10" t="s">
        <v>234</v>
      </c>
      <c r="G40" s="10" t="s">
        <v>235</v>
      </c>
      <c r="H40" s="14" t="s">
        <v>16</v>
      </c>
      <c r="I40" s="10" t="s">
        <v>126</v>
      </c>
      <c r="J40" s="10" t="s">
        <v>236</v>
      </c>
      <c r="K40" s="10"/>
      <c r="L40" s="10" t="s">
        <v>79</v>
      </c>
      <c r="M40" s="12"/>
      <c r="N40" s="12"/>
      <c r="O40" s="12"/>
      <c r="P40" s="12"/>
      <c r="Q40" s="13"/>
    </row>
    <row r="41" customFormat="false" ht="15" hidden="false" customHeight="false" outlineLevel="0" collapsed="false">
      <c r="A41" s="9" t="s">
        <v>237</v>
      </c>
      <c r="B41" s="10" t="s">
        <v>228</v>
      </c>
      <c r="C41" s="10" t="s">
        <v>72</v>
      </c>
      <c r="D41" s="10" t="s">
        <v>73</v>
      </c>
      <c r="E41" s="10" t="s">
        <v>238</v>
      </c>
      <c r="F41" s="10" t="s">
        <v>239</v>
      </c>
      <c r="G41" s="10" t="s">
        <v>240</v>
      </c>
      <c r="H41" s="15" t="s">
        <v>12</v>
      </c>
      <c r="I41" s="10" t="s">
        <v>126</v>
      </c>
      <c r="J41" s="10" t="s">
        <v>77</v>
      </c>
      <c r="K41" s="10"/>
      <c r="L41" s="10" t="s">
        <v>79</v>
      </c>
      <c r="M41" s="12"/>
      <c r="N41" s="12"/>
      <c r="O41" s="12"/>
      <c r="P41" s="12"/>
      <c r="Q41" s="13"/>
    </row>
    <row r="42" customFormat="false" ht="15" hidden="false" customHeight="false" outlineLevel="0" collapsed="false">
      <c r="A42" s="9" t="s">
        <v>241</v>
      </c>
      <c r="B42" s="10" t="s">
        <v>228</v>
      </c>
      <c r="C42" s="10" t="s">
        <v>72</v>
      </c>
      <c r="D42" s="10" t="s">
        <v>95</v>
      </c>
      <c r="E42" s="10" t="s">
        <v>238</v>
      </c>
      <c r="F42" s="10" t="s">
        <v>242</v>
      </c>
      <c r="G42" s="10" t="s">
        <v>243</v>
      </c>
      <c r="H42" s="15" t="s">
        <v>12</v>
      </c>
      <c r="I42" s="10" t="s">
        <v>126</v>
      </c>
      <c r="J42" s="10" t="s">
        <v>77</v>
      </c>
      <c r="K42" s="10"/>
      <c r="L42" s="10" t="s">
        <v>79</v>
      </c>
      <c r="M42" s="12"/>
      <c r="N42" s="12"/>
      <c r="O42" s="12"/>
      <c r="P42" s="12"/>
      <c r="Q42" s="13"/>
    </row>
    <row r="43" customFormat="false" ht="15" hidden="false" customHeight="false" outlineLevel="0" collapsed="false">
      <c r="A43" s="9" t="s">
        <v>244</v>
      </c>
      <c r="B43" s="10" t="s">
        <v>228</v>
      </c>
      <c r="C43" s="10" t="s">
        <v>72</v>
      </c>
      <c r="D43" s="10" t="s">
        <v>95</v>
      </c>
      <c r="E43" s="10" t="s">
        <v>238</v>
      </c>
      <c r="F43" s="10" t="s">
        <v>245</v>
      </c>
      <c r="G43" s="10" t="s">
        <v>246</v>
      </c>
      <c r="H43" s="15" t="s">
        <v>12</v>
      </c>
      <c r="I43" s="10" t="s">
        <v>213</v>
      </c>
      <c r="J43" s="10" t="s">
        <v>77</v>
      </c>
      <c r="K43" s="10"/>
      <c r="L43" s="10" t="s">
        <v>79</v>
      </c>
      <c r="M43" s="12"/>
      <c r="N43" s="12"/>
      <c r="O43" s="12"/>
      <c r="P43" s="12"/>
      <c r="Q43" s="13"/>
    </row>
    <row r="44" customFormat="false" ht="23.85" hidden="false" customHeight="false" outlineLevel="0" collapsed="false">
      <c r="A44" s="9" t="s">
        <v>247</v>
      </c>
      <c r="B44" s="10" t="s">
        <v>228</v>
      </c>
      <c r="C44" s="10" t="s">
        <v>72</v>
      </c>
      <c r="D44" s="10" t="s">
        <v>73</v>
      </c>
      <c r="E44" s="10" t="s">
        <v>230</v>
      </c>
      <c r="F44" s="10" t="s">
        <v>248</v>
      </c>
      <c r="G44" s="10" t="s">
        <v>249</v>
      </c>
      <c r="H44" s="15" t="s">
        <v>12</v>
      </c>
      <c r="I44" s="10" t="s">
        <v>126</v>
      </c>
      <c r="J44" s="10" t="s">
        <v>77</v>
      </c>
      <c r="K44" s="10" t="s">
        <v>250</v>
      </c>
      <c r="L44" s="10" t="s">
        <v>79</v>
      </c>
      <c r="M44" s="12"/>
      <c r="N44" s="12"/>
      <c r="O44" s="12"/>
      <c r="P44" s="12"/>
      <c r="Q44" s="13"/>
    </row>
    <row r="45" customFormat="false" ht="23.85" hidden="false" customHeight="false" outlineLevel="0" collapsed="false">
      <c r="A45" s="9" t="s">
        <v>251</v>
      </c>
      <c r="B45" s="10" t="s">
        <v>228</v>
      </c>
      <c r="C45" s="10" t="s">
        <v>72</v>
      </c>
      <c r="D45" s="10" t="s">
        <v>95</v>
      </c>
      <c r="E45" s="10" t="s">
        <v>230</v>
      </c>
      <c r="F45" s="10" t="s">
        <v>252</v>
      </c>
      <c r="G45" s="10" t="s">
        <v>253</v>
      </c>
      <c r="H45" s="12" t="s">
        <v>14</v>
      </c>
      <c r="I45" s="10" t="s">
        <v>213</v>
      </c>
      <c r="J45" s="10" t="s">
        <v>191</v>
      </c>
      <c r="K45" s="10"/>
      <c r="L45" s="10" t="s">
        <v>79</v>
      </c>
      <c r="M45" s="12"/>
      <c r="N45" s="12"/>
      <c r="O45" s="12"/>
      <c r="P45" s="12"/>
      <c r="Q45" s="13"/>
    </row>
    <row r="46" customFormat="false" ht="23.85" hidden="false" customHeight="false" outlineLevel="0" collapsed="false">
      <c r="A46" s="9" t="s">
        <v>254</v>
      </c>
      <c r="B46" s="10" t="s">
        <v>228</v>
      </c>
      <c r="C46" s="10" t="s">
        <v>72</v>
      </c>
      <c r="D46" s="10" t="s">
        <v>73</v>
      </c>
      <c r="E46" s="10" t="s">
        <v>230</v>
      </c>
      <c r="F46" s="10" t="s">
        <v>255</v>
      </c>
      <c r="G46" s="10" t="s">
        <v>256</v>
      </c>
      <c r="H46" s="14" t="s">
        <v>16</v>
      </c>
      <c r="I46" s="10" t="s">
        <v>213</v>
      </c>
      <c r="J46" s="10" t="s">
        <v>155</v>
      </c>
      <c r="K46" s="10"/>
      <c r="L46" s="10" t="s">
        <v>79</v>
      </c>
      <c r="M46" s="12"/>
      <c r="N46" s="12"/>
      <c r="O46" s="12"/>
      <c r="P46" s="12"/>
      <c r="Q46" s="13"/>
    </row>
    <row r="47" customFormat="false" ht="15" hidden="false" customHeight="false" outlineLevel="0" collapsed="false">
      <c r="A47" s="9" t="s">
        <v>257</v>
      </c>
      <c r="B47" s="10" t="s">
        <v>228</v>
      </c>
      <c r="C47" s="10" t="s">
        <v>72</v>
      </c>
      <c r="D47" s="10" t="s">
        <v>73</v>
      </c>
      <c r="E47" s="10" t="s">
        <v>238</v>
      </c>
      <c r="F47" s="10" t="s">
        <v>258</v>
      </c>
      <c r="G47" s="10" t="s">
        <v>259</v>
      </c>
      <c r="H47" s="15" t="s">
        <v>12</v>
      </c>
      <c r="I47" s="10" t="s">
        <v>126</v>
      </c>
      <c r="J47" s="10" t="s">
        <v>260</v>
      </c>
      <c r="K47" s="10"/>
      <c r="L47" s="10" t="s">
        <v>79</v>
      </c>
      <c r="M47" s="12"/>
      <c r="N47" s="12"/>
      <c r="O47" s="12"/>
      <c r="P47" s="12"/>
      <c r="Q47" s="13"/>
    </row>
    <row r="48" customFormat="false" ht="23.85" hidden="false" customHeight="false" outlineLevel="0" collapsed="false">
      <c r="A48" s="9" t="s">
        <v>261</v>
      </c>
      <c r="B48" s="10" t="s">
        <v>228</v>
      </c>
      <c r="C48" s="10" t="s">
        <v>262</v>
      </c>
      <c r="D48" s="10" t="s">
        <v>73</v>
      </c>
      <c r="E48" s="10" t="s">
        <v>230</v>
      </c>
      <c r="F48" s="10" t="s">
        <v>263</v>
      </c>
      <c r="G48" s="10" t="s">
        <v>264</v>
      </c>
      <c r="H48" s="12" t="s">
        <v>14</v>
      </c>
      <c r="I48" s="10" t="s">
        <v>213</v>
      </c>
      <c r="J48" s="10" t="s">
        <v>265</v>
      </c>
      <c r="K48" s="10"/>
      <c r="L48" s="10" t="s">
        <v>79</v>
      </c>
      <c r="M48" s="12"/>
      <c r="N48" s="12"/>
      <c r="O48" s="12"/>
      <c r="P48" s="12"/>
      <c r="Q48" s="13"/>
    </row>
    <row r="49" customFormat="false" ht="15" hidden="false" customHeight="false" outlineLevel="0" collapsed="false">
      <c r="A49" s="9" t="s">
        <v>266</v>
      </c>
      <c r="B49" s="10" t="s">
        <v>228</v>
      </c>
      <c r="C49" s="10" t="s">
        <v>72</v>
      </c>
      <c r="D49" s="10" t="s">
        <v>95</v>
      </c>
      <c r="E49" s="10" t="s">
        <v>238</v>
      </c>
      <c r="F49" s="10" t="s">
        <v>267</v>
      </c>
      <c r="G49" s="10" t="s">
        <v>268</v>
      </c>
      <c r="H49" s="15" t="s">
        <v>12</v>
      </c>
      <c r="I49" s="10" t="s">
        <v>126</v>
      </c>
      <c r="J49" s="10" t="s">
        <v>77</v>
      </c>
      <c r="K49" s="10"/>
      <c r="L49" s="10" t="s">
        <v>79</v>
      </c>
      <c r="M49" s="12"/>
      <c r="N49" s="12"/>
      <c r="O49" s="12"/>
      <c r="P49" s="12"/>
      <c r="Q49" s="13"/>
    </row>
    <row r="50" customFormat="false" ht="23.85" hidden="false" customHeight="false" outlineLevel="0" collapsed="false">
      <c r="A50" s="9" t="s">
        <v>269</v>
      </c>
      <c r="B50" s="10" t="s">
        <v>270</v>
      </c>
      <c r="C50" s="10" t="s">
        <v>271</v>
      </c>
      <c r="D50" s="10" t="s">
        <v>95</v>
      </c>
      <c r="E50" s="10" t="s">
        <v>74</v>
      </c>
      <c r="F50" s="10" t="s">
        <v>272</v>
      </c>
      <c r="G50" s="10" t="s">
        <v>273</v>
      </c>
      <c r="H50" s="11" t="s">
        <v>18</v>
      </c>
      <c r="I50" s="10" t="s">
        <v>126</v>
      </c>
      <c r="J50" s="10" t="s">
        <v>185</v>
      </c>
      <c r="K50" s="10"/>
      <c r="L50" s="10" t="s">
        <v>79</v>
      </c>
      <c r="M50" s="12"/>
      <c r="N50" s="12"/>
      <c r="O50" s="12"/>
      <c r="P50" s="12"/>
      <c r="Q50" s="13"/>
    </row>
    <row r="51" customFormat="false" ht="23.85" hidden="false" customHeight="false" outlineLevel="0" collapsed="false">
      <c r="A51" s="9" t="s">
        <v>274</v>
      </c>
      <c r="B51" s="10" t="s">
        <v>270</v>
      </c>
      <c r="C51" s="10" t="s">
        <v>271</v>
      </c>
      <c r="D51" s="10" t="s">
        <v>95</v>
      </c>
      <c r="E51" s="10" t="s">
        <v>230</v>
      </c>
      <c r="F51" s="10" t="s">
        <v>275</v>
      </c>
      <c r="G51" s="10" t="s">
        <v>276</v>
      </c>
      <c r="H51" s="15" t="s">
        <v>12</v>
      </c>
      <c r="I51" s="10" t="s">
        <v>126</v>
      </c>
      <c r="J51" s="10" t="s">
        <v>185</v>
      </c>
      <c r="K51" s="10"/>
      <c r="L51" s="10" t="s">
        <v>79</v>
      </c>
      <c r="M51" s="12"/>
      <c r="N51" s="12"/>
      <c r="O51" s="12"/>
      <c r="P51" s="12"/>
      <c r="Q51" s="13"/>
    </row>
    <row r="52" customFormat="false" ht="23.85" hidden="false" customHeight="false" outlineLevel="0" collapsed="false">
      <c r="A52" s="9" t="s">
        <v>277</v>
      </c>
      <c r="B52" s="10" t="s">
        <v>270</v>
      </c>
      <c r="C52" s="10" t="s">
        <v>271</v>
      </c>
      <c r="D52" s="10" t="s">
        <v>95</v>
      </c>
      <c r="E52" s="10" t="s">
        <v>230</v>
      </c>
      <c r="F52" s="10" t="s">
        <v>278</v>
      </c>
      <c r="G52" s="10" t="s">
        <v>279</v>
      </c>
      <c r="H52" s="12" t="s">
        <v>14</v>
      </c>
      <c r="I52" s="10" t="s">
        <v>126</v>
      </c>
      <c r="J52" s="10" t="s">
        <v>185</v>
      </c>
      <c r="K52" s="10"/>
      <c r="L52" s="10" t="s">
        <v>79</v>
      </c>
      <c r="M52" s="12"/>
      <c r="N52" s="12"/>
      <c r="O52" s="12"/>
      <c r="P52" s="12"/>
      <c r="Q52" s="13"/>
    </row>
    <row r="53" customFormat="false" ht="23.85" hidden="false" customHeight="false" outlineLevel="0" collapsed="false">
      <c r="A53" s="9" t="s">
        <v>280</v>
      </c>
      <c r="B53" s="10" t="s">
        <v>270</v>
      </c>
      <c r="C53" s="10" t="s">
        <v>271</v>
      </c>
      <c r="D53" s="10" t="s">
        <v>95</v>
      </c>
      <c r="E53" s="10" t="s">
        <v>230</v>
      </c>
      <c r="F53" s="10" t="s">
        <v>281</v>
      </c>
      <c r="G53" s="10" t="s">
        <v>282</v>
      </c>
      <c r="H53" s="11" t="s">
        <v>18</v>
      </c>
      <c r="I53" s="10" t="s">
        <v>126</v>
      </c>
      <c r="J53" s="10" t="s">
        <v>185</v>
      </c>
      <c r="K53" s="10"/>
      <c r="L53" s="10" t="s">
        <v>79</v>
      </c>
      <c r="M53" s="12"/>
      <c r="N53" s="12"/>
      <c r="O53" s="12"/>
      <c r="P53" s="12"/>
      <c r="Q53" s="13"/>
    </row>
    <row r="54" customFormat="false" ht="15" hidden="false" customHeight="false" outlineLevel="0" collapsed="false">
      <c r="A54" s="9" t="s">
        <v>283</v>
      </c>
      <c r="B54" s="10" t="s">
        <v>270</v>
      </c>
      <c r="C54" s="10" t="s">
        <v>271</v>
      </c>
      <c r="D54" s="10" t="s">
        <v>95</v>
      </c>
      <c r="E54" s="10" t="s">
        <v>230</v>
      </c>
      <c r="F54" s="10" t="s">
        <v>284</v>
      </c>
      <c r="G54" s="10" t="s">
        <v>285</v>
      </c>
      <c r="H54" s="11" t="s">
        <v>18</v>
      </c>
      <c r="I54" s="10" t="s">
        <v>126</v>
      </c>
      <c r="J54" s="10" t="s">
        <v>185</v>
      </c>
      <c r="K54" s="10"/>
      <c r="L54" s="10" t="s">
        <v>79</v>
      </c>
      <c r="M54" s="12"/>
      <c r="N54" s="12"/>
      <c r="O54" s="12"/>
      <c r="P54" s="12"/>
      <c r="Q54" s="13"/>
    </row>
    <row r="55" customFormat="false" ht="23.85" hidden="false" customHeight="false" outlineLevel="0" collapsed="false">
      <c r="A55" s="9" t="s">
        <v>286</v>
      </c>
      <c r="B55" s="10" t="s">
        <v>270</v>
      </c>
      <c r="C55" s="10" t="s">
        <v>271</v>
      </c>
      <c r="D55" s="10" t="s">
        <v>95</v>
      </c>
      <c r="E55" s="10" t="s">
        <v>110</v>
      </c>
      <c r="F55" s="10" t="s">
        <v>287</v>
      </c>
      <c r="G55" s="10" t="s">
        <v>288</v>
      </c>
      <c r="H55" s="12" t="s">
        <v>14</v>
      </c>
      <c r="I55" s="10" t="s">
        <v>126</v>
      </c>
      <c r="J55" s="10" t="s">
        <v>185</v>
      </c>
      <c r="K55" s="10"/>
      <c r="L55" s="10" t="s">
        <v>79</v>
      </c>
      <c r="M55" s="12"/>
      <c r="N55" s="12"/>
      <c r="O55" s="12"/>
      <c r="P55" s="12"/>
      <c r="Q55" s="13"/>
    </row>
    <row r="56" customFormat="false" ht="23.85" hidden="false" customHeight="false" outlineLevel="0" collapsed="false">
      <c r="A56" s="9" t="s">
        <v>289</v>
      </c>
      <c r="B56" s="10" t="s">
        <v>270</v>
      </c>
      <c r="C56" s="10" t="s">
        <v>271</v>
      </c>
      <c r="D56" s="10" t="s">
        <v>95</v>
      </c>
      <c r="E56" s="10" t="s">
        <v>100</v>
      </c>
      <c r="F56" s="10" t="s">
        <v>290</v>
      </c>
      <c r="G56" s="10" t="s">
        <v>291</v>
      </c>
      <c r="H56" s="14" t="s">
        <v>16</v>
      </c>
      <c r="I56" s="10" t="s">
        <v>292</v>
      </c>
      <c r="J56" s="10" t="s">
        <v>185</v>
      </c>
      <c r="K56" s="10"/>
      <c r="L56" s="10" t="s">
        <v>79</v>
      </c>
      <c r="M56" s="12"/>
      <c r="N56" s="12"/>
      <c r="O56" s="12"/>
      <c r="P56" s="12"/>
      <c r="Q56" s="13"/>
    </row>
    <row r="57" customFormat="false" ht="23.85" hidden="false" customHeight="false" outlineLevel="0" collapsed="false">
      <c r="A57" s="9" t="s">
        <v>293</v>
      </c>
      <c r="B57" s="10" t="s">
        <v>270</v>
      </c>
      <c r="C57" s="10" t="s">
        <v>271</v>
      </c>
      <c r="D57" s="10" t="s">
        <v>95</v>
      </c>
      <c r="E57" s="10" t="s">
        <v>110</v>
      </c>
      <c r="F57" s="10" t="s">
        <v>294</v>
      </c>
      <c r="G57" s="10" t="s">
        <v>295</v>
      </c>
      <c r="H57" s="12" t="s">
        <v>14</v>
      </c>
      <c r="I57" s="10" t="s">
        <v>213</v>
      </c>
      <c r="J57" s="10" t="s">
        <v>185</v>
      </c>
      <c r="K57" s="10"/>
      <c r="L57" s="10" t="s">
        <v>79</v>
      </c>
      <c r="M57" s="12"/>
      <c r="N57" s="12"/>
      <c r="O57" s="12"/>
      <c r="P57" s="12"/>
      <c r="Q57" s="13"/>
    </row>
    <row r="58" customFormat="false" ht="23.85" hidden="false" customHeight="false" outlineLevel="0" collapsed="false">
      <c r="A58" s="9" t="s">
        <v>296</v>
      </c>
      <c r="B58" s="10" t="s">
        <v>270</v>
      </c>
      <c r="C58" s="10" t="s">
        <v>271</v>
      </c>
      <c r="D58" s="10" t="s">
        <v>95</v>
      </c>
      <c r="E58" s="10" t="s">
        <v>91</v>
      </c>
      <c r="F58" s="10" t="s">
        <v>284</v>
      </c>
      <c r="G58" s="10" t="s">
        <v>297</v>
      </c>
      <c r="H58" s="12" t="s">
        <v>14</v>
      </c>
      <c r="I58" s="10" t="s">
        <v>126</v>
      </c>
      <c r="J58" s="10" t="s">
        <v>185</v>
      </c>
      <c r="K58" s="10"/>
      <c r="L58" s="10" t="s">
        <v>79</v>
      </c>
      <c r="M58" s="12"/>
      <c r="N58" s="12"/>
      <c r="O58" s="12"/>
      <c r="P58" s="12"/>
      <c r="Q58" s="13"/>
    </row>
    <row r="59" customFormat="false" ht="23.85" hidden="false" customHeight="false" outlineLevel="0" collapsed="false">
      <c r="A59" s="9" t="s">
        <v>298</v>
      </c>
      <c r="B59" s="10" t="s">
        <v>270</v>
      </c>
      <c r="C59" s="10" t="s">
        <v>271</v>
      </c>
      <c r="D59" s="10" t="s">
        <v>95</v>
      </c>
      <c r="E59" s="10" t="s">
        <v>238</v>
      </c>
      <c r="F59" s="10" t="s">
        <v>299</v>
      </c>
      <c r="G59" s="10" t="s">
        <v>300</v>
      </c>
      <c r="H59" s="15" t="s">
        <v>12</v>
      </c>
      <c r="I59" s="10" t="s">
        <v>126</v>
      </c>
      <c r="J59" s="10" t="s">
        <v>185</v>
      </c>
      <c r="K59" s="10"/>
      <c r="L59" s="10" t="s">
        <v>79</v>
      </c>
      <c r="M59" s="12"/>
      <c r="N59" s="12"/>
      <c r="O59" s="12"/>
      <c r="P59" s="12"/>
      <c r="Q59" s="13"/>
    </row>
    <row r="60" customFormat="false" ht="23.85" hidden="false" customHeight="false" outlineLevel="0" collapsed="false">
      <c r="A60" s="9" t="s">
        <v>301</v>
      </c>
      <c r="B60" s="10" t="s">
        <v>302</v>
      </c>
      <c r="C60" s="10" t="s">
        <v>303</v>
      </c>
      <c r="D60" s="10" t="s">
        <v>95</v>
      </c>
      <c r="E60" s="10" t="s">
        <v>230</v>
      </c>
      <c r="F60" s="10" t="s">
        <v>304</v>
      </c>
      <c r="G60" s="10" t="s">
        <v>305</v>
      </c>
      <c r="H60" s="15" t="s">
        <v>12</v>
      </c>
      <c r="I60" s="10" t="s">
        <v>126</v>
      </c>
      <c r="J60" s="10" t="s">
        <v>77</v>
      </c>
      <c r="K60" s="10"/>
      <c r="L60" s="10" t="s">
        <v>79</v>
      </c>
      <c r="M60" s="12"/>
      <c r="N60" s="12"/>
      <c r="O60" s="12"/>
      <c r="P60" s="12"/>
      <c r="Q60" s="13"/>
    </row>
    <row r="61" customFormat="false" ht="23.85" hidden="false" customHeight="false" outlineLevel="0" collapsed="false">
      <c r="A61" s="9" t="s">
        <v>306</v>
      </c>
      <c r="B61" s="10" t="s">
        <v>302</v>
      </c>
      <c r="C61" s="10" t="s">
        <v>303</v>
      </c>
      <c r="D61" s="10" t="s">
        <v>95</v>
      </c>
      <c r="E61" s="10" t="s">
        <v>74</v>
      </c>
      <c r="F61" s="10" t="s">
        <v>307</v>
      </c>
      <c r="G61" s="10" t="s">
        <v>308</v>
      </c>
      <c r="H61" s="11" t="s">
        <v>18</v>
      </c>
      <c r="I61" s="10" t="s">
        <v>29</v>
      </c>
      <c r="J61" s="10" t="s">
        <v>155</v>
      </c>
      <c r="K61" s="10"/>
      <c r="L61" s="10" t="s">
        <v>79</v>
      </c>
      <c r="M61" s="12"/>
      <c r="N61" s="12"/>
      <c r="O61" s="12"/>
      <c r="P61" s="12"/>
      <c r="Q61" s="13"/>
    </row>
    <row r="62" customFormat="false" ht="35.05" hidden="false" customHeight="false" outlineLevel="0" collapsed="false">
      <c r="A62" s="9" t="s">
        <v>309</v>
      </c>
      <c r="B62" s="10" t="s">
        <v>302</v>
      </c>
      <c r="C62" s="10" t="s">
        <v>310</v>
      </c>
      <c r="D62" s="10" t="s">
        <v>73</v>
      </c>
      <c r="E62" s="10" t="s">
        <v>100</v>
      </c>
      <c r="F62" s="10" t="s">
        <v>311</v>
      </c>
      <c r="G62" s="10" t="s">
        <v>312</v>
      </c>
      <c r="H62" s="11" t="s">
        <v>18</v>
      </c>
      <c r="I62" s="10" t="s">
        <v>313</v>
      </c>
      <c r="J62" s="10" t="s">
        <v>314</v>
      </c>
      <c r="K62" s="10" t="s">
        <v>315</v>
      </c>
      <c r="L62" s="10" t="s">
        <v>79</v>
      </c>
      <c r="M62" s="12"/>
      <c r="N62" s="12"/>
      <c r="O62" s="12"/>
      <c r="P62" s="12"/>
      <c r="Q62" s="13"/>
    </row>
    <row r="63" customFormat="false" ht="35.05" hidden="false" customHeight="false" outlineLevel="0" collapsed="false">
      <c r="A63" s="9" t="s">
        <v>316</v>
      </c>
      <c r="B63" s="10" t="s">
        <v>302</v>
      </c>
      <c r="C63" s="10" t="s">
        <v>303</v>
      </c>
      <c r="D63" s="10" t="s">
        <v>73</v>
      </c>
      <c r="E63" s="10" t="s">
        <v>110</v>
      </c>
      <c r="F63" s="10" t="s">
        <v>317</v>
      </c>
      <c r="G63" s="10" t="s">
        <v>318</v>
      </c>
      <c r="H63" s="11" t="s">
        <v>18</v>
      </c>
      <c r="I63" s="10" t="s">
        <v>29</v>
      </c>
      <c r="J63" s="10" t="s">
        <v>29</v>
      </c>
      <c r="K63" s="10" t="s">
        <v>319</v>
      </c>
      <c r="L63" s="10" t="s">
        <v>79</v>
      </c>
      <c r="M63" s="12"/>
      <c r="N63" s="12"/>
      <c r="O63" s="12"/>
      <c r="P63" s="12"/>
      <c r="Q63" s="13"/>
    </row>
    <row r="64" customFormat="false" ht="23.85" hidden="false" customHeight="false" outlineLevel="0" collapsed="false">
      <c r="A64" s="9" t="s">
        <v>320</v>
      </c>
      <c r="B64" s="10" t="s">
        <v>302</v>
      </c>
      <c r="C64" s="10" t="s">
        <v>303</v>
      </c>
      <c r="D64" s="10" t="s">
        <v>73</v>
      </c>
      <c r="E64" s="10" t="s">
        <v>100</v>
      </c>
      <c r="F64" s="10" t="s">
        <v>321</v>
      </c>
      <c r="G64" s="10" t="s">
        <v>322</v>
      </c>
      <c r="H64" s="11" t="s">
        <v>18</v>
      </c>
      <c r="I64" s="10" t="s">
        <v>29</v>
      </c>
      <c r="J64" s="10" t="s">
        <v>191</v>
      </c>
      <c r="K64" s="10"/>
      <c r="L64" s="10" t="s">
        <v>79</v>
      </c>
      <c r="M64" s="12"/>
      <c r="N64" s="12"/>
      <c r="O64" s="12"/>
      <c r="P64" s="12"/>
      <c r="Q64" s="13"/>
    </row>
    <row r="65" customFormat="false" ht="23.85" hidden="false" customHeight="false" outlineLevel="0" collapsed="false">
      <c r="A65" s="9" t="s">
        <v>323</v>
      </c>
      <c r="B65" s="10" t="s">
        <v>324</v>
      </c>
      <c r="C65" s="10" t="s">
        <v>325</v>
      </c>
      <c r="D65" s="10" t="s">
        <v>95</v>
      </c>
      <c r="E65" s="10" t="s">
        <v>96</v>
      </c>
      <c r="F65" s="10" t="s">
        <v>326</v>
      </c>
      <c r="G65" s="10" t="s">
        <v>327</v>
      </c>
      <c r="H65" s="14" t="s">
        <v>16</v>
      </c>
      <c r="I65" s="10" t="s">
        <v>29</v>
      </c>
      <c r="J65" s="10" t="s">
        <v>29</v>
      </c>
      <c r="K65" s="10"/>
      <c r="L65" s="10" t="s">
        <v>79</v>
      </c>
      <c r="M65" s="12"/>
      <c r="N65" s="12"/>
      <c r="O65" s="12"/>
      <c r="P65" s="12"/>
      <c r="Q65" s="13"/>
    </row>
    <row r="66" customFormat="false" ht="23.85" hidden="false" customHeight="false" outlineLevel="0" collapsed="false">
      <c r="A66" s="9" t="s">
        <v>328</v>
      </c>
      <c r="B66" s="10" t="s">
        <v>324</v>
      </c>
      <c r="C66" s="10" t="s">
        <v>325</v>
      </c>
      <c r="D66" s="10" t="s">
        <v>95</v>
      </c>
      <c r="E66" s="10" t="s">
        <v>230</v>
      </c>
      <c r="F66" s="10" t="s">
        <v>329</v>
      </c>
      <c r="G66" s="10" t="s">
        <v>330</v>
      </c>
      <c r="H66" s="11" t="s">
        <v>18</v>
      </c>
      <c r="I66" s="10" t="s">
        <v>213</v>
      </c>
      <c r="J66" s="10" t="s">
        <v>155</v>
      </c>
      <c r="K66" s="10"/>
      <c r="L66" s="10" t="s">
        <v>79</v>
      </c>
      <c r="M66" s="12"/>
      <c r="N66" s="12"/>
      <c r="O66" s="12"/>
      <c r="P66" s="12"/>
      <c r="Q66" s="13"/>
    </row>
    <row r="67" customFormat="false" ht="23.85" hidden="false" customHeight="false" outlineLevel="0" collapsed="false">
      <c r="A67" s="9" t="s">
        <v>331</v>
      </c>
      <c r="B67" s="10" t="s">
        <v>324</v>
      </c>
      <c r="C67" s="10" t="s">
        <v>325</v>
      </c>
      <c r="D67" s="10" t="s">
        <v>95</v>
      </c>
      <c r="E67" s="10" t="s">
        <v>230</v>
      </c>
      <c r="F67" s="10" t="s">
        <v>332</v>
      </c>
      <c r="G67" s="10" t="s">
        <v>333</v>
      </c>
      <c r="H67" s="12" t="s">
        <v>14</v>
      </c>
      <c r="I67" s="10" t="s">
        <v>213</v>
      </c>
      <c r="J67" s="10" t="s">
        <v>29</v>
      </c>
      <c r="K67" s="10"/>
      <c r="L67" s="10" t="s">
        <v>79</v>
      </c>
      <c r="M67" s="12"/>
      <c r="N67" s="12"/>
      <c r="O67" s="12"/>
      <c r="P67" s="12"/>
      <c r="Q67" s="13"/>
    </row>
    <row r="68" customFormat="false" ht="23.85" hidden="false" customHeight="false" outlineLevel="0" collapsed="false">
      <c r="A68" s="9" t="s">
        <v>334</v>
      </c>
      <c r="B68" s="10" t="s">
        <v>324</v>
      </c>
      <c r="C68" s="10" t="s">
        <v>325</v>
      </c>
      <c r="D68" s="10" t="s">
        <v>95</v>
      </c>
      <c r="E68" s="10" t="s">
        <v>100</v>
      </c>
      <c r="F68" s="10" t="s">
        <v>335</v>
      </c>
      <c r="G68" s="10" t="s">
        <v>336</v>
      </c>
      <c r="H68" s="14" t="s">
        <v>16</v>
      </c>
      <c r="I68" s="10" t="s">
        <v>29</v>
      </c>
      <c r="J68" s="10" t="s">
        <v>29</v>
      </c>
      <c r="K68" s="10"/>
      <c r="L68" s="10" t="s">
        <v>79</v>
      </c>
      <c r="M68" s="12"/>
      <c r="N68" s="12"/>
      <c r="O68" s="12"/>
      <c r="P68" s="12"/>
      <c r="Q68" s="13"/>
    </row>
    <row r="69" customFormat="false" ht="23.85" hidden="false" customHeight="false" outlineLevel="0" collapsed="false">
      <c r="A69" s="9" t="s">
        <v>337</v>
      </c>
      <c r="B69" s="10" t="s">
        <v>338</v>
      </c>
      <c r="C69" s="10" t="s">
        <v>179</v>
      </c>
      <c r="D69" s="10" t="s">
        <v>95</v>
      </c>
      <c r="E69" s="10" t="s">
        <v>110</v>
      </c>
      <c r="F69" s="10" t="s">
        <v>339</v>
      </c>
      <c r="G69" s="10" t="s">
        <v>340</v>
      </c>
      <c r="H69" s="11" t="s">
        <v>18</v>
      </c>
      <c r="I69" s="10" t="s">
        <v>29</v>
      </c>
      <c r="J69" s="10" t="s">
        <v>29</v>
      </c>
      <c r="K69" s="10"/>
      <c r="L69" s="10" t="s">
        <v>79</v>
      </c>
      <c r="M69" s="12"/>
      <c r="N69" s="12"/>
      <c r="O69" s="12"/>
      <c r="P69" s="12"/>
      <c r="Q69" s="13"/>
    </row>
    <row r="70" customFormat="false" ht="23.85" hidden="false" customHeight="false" outlineLevel="0" collapsed="false">
      <c r="A70" s="9" t="s">
        <v>341</v>
      </c>
      <c r="B70" s="10" t="s">
        <v>338</v>
      </c>
      <c r="C70" s="10" t="s">
        <v>179</v>
      </c>
      <c r="D70" s="10" t="s">
        <v>95</v>
      </c>
      <c r="E70" s="10" t="s">
        <v>230</v>
      </c>
      <c r="F70" s="10" t="s">
        <v>342</v>
      </c>
      <c r="G70" s="10" t="s">
        <v>343</v>
      </c>
      <c r="H70" s="12" t="s">
        <v>14</v>
      </c>
      <c r="I70" s="10" t="s">
        <v>213</v>
      </c>
      <c r="J70" s="10" t="s">
        <v>29</v>
      </c>
      <c r="K70" s="10"/>
      <c r="L70" s="10" t="s">
        <v>79</v>
      </c>
      <c r="M70" s="12"/>
      <c r="N70" s="12"/>
      <c r="O70" s="12"/>
      <c r="P70" s="12"/>
      <c r="Q70" s="13"/>
    </row>
    <row r="71" customFormat="false" ht="15" hidden="false" customHeight="false" outlineLevel="0" collapsed="false">
      <c r="A71" s="9" t="s">
        <v>344</v>
      </c>
      <c r="B71" s="10" t="s">
        <v>338</v>
      </c>
      <c r="C71" s="10" t="s">
        <v>179</v>
      </c>
      <c r="D71" s="10" t="s">
        <v>95</v>
      </c>
      <c r="E71" s="10" t="s">
        <v>91</v>
      </c>
      <c r="F71" s="10" t="s">
        <v>345</v>
      </c>
      <c r="G71" s="10" t="s">
        <v>346</v>
      </c>
      <c r="H71" s="14" t="s">
        <v>16</v>
      </c>
      <c r="I71" s="10" t="s">
        <v>126</v>
      </c>
      <c r="J71" s="10" t="s">
        <v>155</v>
      </c>
      <c r="K71" s="10"/>
      <c r="L71" s="10" t="s">
        <v>79</v>
      </c>
      <c r="M71" s="12"/>
      <c r="N71" s="12"/>
      <c r="O71" s="12"/>
      <c r="P71" s="12"/>
      <c r="Q71" s="13"/>
    </row>
    <row r="72" customFormat="false" ht="35.05" hidden="false" customHeight="false" outlineLevel="0" collapsed="false">
      <c r="A72" s="9" t="s">
        <v>347</v>
      </c>
      <c r="B72" s="10" t="s">
        <v>348</v>
      </c>
      <c r="C72" s="10" t="s">
        <v>349</v>
      </c>
      <c r="D72" s="10" t="s">
        <v>95</v>
      </c>
      <c r="E72" s="10" t="s">
        <v>96</v>
      </c>
      <c r="F72" s="10" t="s">
        <v>350</v>
      </c>
      <c r="G72" s="10" t="s">
        <v>351</v>
      </c>
      <c r="H72" s="11" t="s">
        <v>18</v>
      </c>
      <c r="I72" s="10" t="s">
        <v>126</v>
      </c>
      <c r="J72" s="10" t="s">
        <v>29</v>
      </c>
      <c r="K72" s="10"/>
      <c r="L72" s="10" t="s">
        <v>79</v>
      </c>
      <c r="M72" s="12"/>
      <c r="N72" s="12"/>
      <c r="O72" s="12"/>
      <c r="P72" s="12"/>
      <c r="Q72" s="13"/>
    </row>
    <row r="73" customFormat="false" ht="35.05" hidden="false" customHeight="false" outlineLevel="0" collapsed="false">
      <c r="A73" s="9" t="s">
        <v>352</v>
      </c>
      <c r="B73" s="10" t="s">
        <v>348</v>
      </c>
      <c r="C73" s="10" t="s">
        <v>349</v>
      </c>
      <c r="D73" s="10" t="s">
        <v>95</v>
      </c>
      <c r="E73" s="10" t="s">
        <v>230</v>
      </c>
      <c r="F73" s="10" t="s">
        <v>353</v>
      </c>
      <c r="G73" s="10" t="s">
        <v>354</v>
      </c>
      <c r="H73" s="11" t="s">
        <v>18</v>
      </c>
      <c r="I73" s="10" t="s">
        <v>126</v>
      </c>
      <c r="J73" s="10" t="s">
        <v>29</v>
      </c>
      <c r="K73" s="10"/>
      <c r="L73" s="10" t="s">
        <v>79</v>
      </c>
      <c r="M73" s="12"/>
      <c r="N73" s="12"/>
      <c r="O73" s="12"/>
      <c r="P73" s="12"/>
      <c r="Q73" s="13"/>
    </row>
    <row r="74" customFormat="false" ht="35.05" hidden="false" customHeight="false" outlineLevel="0" collapsed="false">
      <c r="A74" s="9" t="s">
        <v>355</v>
      </c>
      <c r="B74" s="10" t="s">
        <v>348</v>
      </c>
      <c r="C74" s="10" t="s">
        <v>349</v>
      </c>
      <c r="D74" s="10" t="s">
        <v>95</v>
      </c>
      <c r="E74" s="10" t="s">
        <v>100</v>
      </c>
      <c r="F74" s="10" t="s">
        <v>356</v>
      </c>
      <c r="G74" s="10" t="s">
        <v>357</v>
      </c>
      <c r="H74" s="11" t="s">
        <v>18</v>
      </c>
      <c r="I74" s="10" t="s">
        <v>126</v>
      </c>
      <c r="J74" s="10" t="s">
        <v>191</v>
      </c>
      <c r="K74" s="10" t="s">
        <v>358</v>
      </c>
      <c r="L74" s="10" t="s">
        <v>79</v>
      </c>
      <c r="M74" s="12"/>
      <c r="N74" s="12"/>
      <c r="O74" s="12"/>
      <c r="P74" s="12"/>
      <c r="Q74" s="13"/>
    </row>
    <row r="75" customFormat="false" ht="35.05" hidden="false" customHeight="false" outlineLevel="0" collapsed="false">
      <c r="A75" s="9" t="s">
        <v>359</v>
      </c>
      <c r="B75" s="10" t="s">
        <v>348</v>
      </c>
      <c r="C75" s="10" t="s">
        <v>349</v>
      </c>
      <c r="D75" s="10" t="s">
        <v>95</v>
      </c>
      <c r="E75" s="10" t="s">
        <v>238</v>
      </c>
      <c r="F75" s="10" t="s">
        <v>353</v>
      </c>
      <c r="G75" s="10" t="s">
        <v>360</v>
      </c>
      <c r="H75" s="15" t="s">
        <v>12</v>
      </c>
      <c r="I75" s="10" t="s">
        <v>126</v>
      </c>
      <c r="J75" s="10" t="s">
        <v>77</v>
      </c>
      <c r="K75" s="10"/>
      <c r="L75" s="10" t="s">
        <v>79</v>
      </c>
      <c r="M75" s="12"/>
      <c r="N75" s="12"/>
      <c r="O75" s="12"/>
      <c r="P75" s="12"/>
      <c r="Q75" s="13"/>
    </row>
    <row r="76" customFormat="false" ht="35.05" hidden="false" customHeight="false" outlineLevel="0" collapsed="false">
      <c r="A76" s="9" t="s">
        <v>361</v>
      </c>
      <c r="B76" s="10" t="s">
        <v>348</v>
      </c>
      <c r="C76" s="10" t="s">
        <v>349</v>
      </c>
      <c r="D76" s="10" t="s">
        <v>95</v>
      </c>
      <c r="E76" s="10" t="s">
        <v>74</v>
      </c>
      <c r="F76" s="10" t="s">
        <v>362</v>
      </c>
      <c r="G76" s="10" t="s">
        <v>363</v>
      </c>
      <c r="H76" s="14" t="s">
        <v>16</v>
      </c>
      <c r="I76" s="10" t="s">
        <v>29</v>
      </c>
      <c r="J76" s="10" t="s">
        <v>29</v>
      </c>
      <c r="K76" s="10"/>
      <c r="L76" s="10" t="s">
        <v>79</v>
      </c>
      <c r="M76" s="12"/>
      <c r="N76" s="12"/>
      <c r="O76" s="12"/>
      <c r="P76" s="12"/>
      <c r="Q76" s="13"/>
    </row>
    <row r="77" customFormat="false" ht="35.05" hidden="false" customHeight="false" outlineLevel="0" collapsed="false">
      <c r="A77" s="9" t="s">
        <v>364</v>
      </c>
      <c r="B77" s="10" t="s">
        <v>348</v>
      </c>
      <c r="C77" s="10" t="s">
        <v>349</v>
      </c>
      <c r="D77" s="10" t="s">
        <v>95</v>
      </c>
      <c r="E77" s="10" t="s">
        <v>74</v>
      </c>
      <c r="F77" s="10" t="s">
        <v>365</v>
      </c>
      <c r="G77" s="10" t="s">
        <v>366</v>
      </c>
      <c r="H77" s="15" t="s">
        <v>12</v>
      </c>
      <c r="I77" s="10" t="s">
        <v>29</v>
      </c>
      <c r="J77" s="10" t="s">
        <v>29</v>
      </c>
      <c r="K77" s="10"/>
      <c r="L77" s="10" t="s">
        <v>79</v>
      </c>
      <c r="M77" s="12"/>
      <c r="N77" s="12"/>
      <c r="O77" s="12"/>
      <c r="P77" s="12"/>
      <c r="Q77" s="13"/>
    </row>
    <row r="78" customFormat="false" ht="46.25" hidden="false" customHeight="false" outlineLevel="0" collapsed="false">
      <c r="A78" s="9" t="s">
        <v>367</v>
      </c>
      <c r="B78" s="10" t="s">
        <v>368</v>
      </c>
      <c r="C78" s="10" t="s">
        <v>161</v>
      </c>
      <c r="D78" s="10" t="s">
        <v>162</v>
      </c>
      <c r="E78" s="10" t="s">
        <v>110</v>
      </c>
      <c r="F78" s="10" t="s">
        <v>369</v>
      </c>
      <c r="G78" s="10" t="s">
        <v>370</v>
      </c>
      <c r="H78" s="15" t="s">
        <v>12</v>
      </c>
      <c r="I78" s="10" t="s">
        <v>126</v>
      </c>
      <c r="J78" s="10" t="s">
        <v>165</v>
      </c>
      <c r="K78" s="10"/>
      <c r="L78" s="10" t="s">
        <v>79</v>
      </c>
      <c r="M78" s="12"/>
      <c r="N78" s="12"/>
      <c r="O78" s="12"/>
      <c r="P78" s="12"/>
      <c r="Q78" s="13"/>
    </row>
    <row r="79" customFormat="false" ht="15" hidden="false" customHeight="false" outlineLevel="0" collapsed="false">
      <c r="A79" s="9" t="s">
        <v>371</v>
      </c>
      <c r="B79" s="10" t="s">
        <v>368</v>
      </c>
      <c r="C79" s="10" t="s">
        <v>161</v>
      </c>
      <c r="D79" s="10" t="s">
        <v>162</v>
      </c>
      <c r="E79" s="10" t="s">
        <v>74</v>
      </c>
      <c r="F79" s="10" t="s">
        <v>372</v>
      </c>
      <c r="G79" s="10" t="s">
        <v>373</v>
      </c>
      <c r="H79" s="12" t="s">
        <v>14</v>
      </c>
      <c r="I79" s="10" t="s">
        <v>126</v>
      </c>
      <c r="J79" s="10" t="s">
        <v>165</v>
      </c>
      <c r="K79" s="10"/>
      <c r="L79" s="10" t="s">
        <v>79</v>
      </c>
      <c r="M79" s="12"/>
      <c r="N79" s="12"/>
      <c r="O79" s="12"/>
      <c r="P79" s="12"/>
      <c r="Q79" s="13"/>
    </row>
    <row r="80" customFormat="false" ht="15" hidden="false" customHeight="false" outlineLevel="0" collapsed="false">
      <c r="A80" s="9" t="s">
        <v>374</v>
      </c>
      <c r="B80" s="10" t="s">
        <v>368</v>
      </c>
      <c r="C80" s="10" t="s">
        <v>161</v>
      </c>
      <c r="D80" s="10" t="s">
        <v>162</v>
      </c>
      <c r="E80" s="10" t="s">
        <v>188</v>
      </c>
      <c r="F80" s="10" t="s">
        <v>375</v>
      </c>
      <c r="G80" s="10" t="s">
        <v>376</v>
      </c>
      <c r="H80" s="15" t="s">
        <v>12</v>
      </c>
      <c r="I80" s="10" t="s">
        <v>126</v>
      </c>
      <c r="J80" s="10" t="s">
        <v>77</v>
      </c>
      <c r="K80" s="10"/>
      <c r="L80" s="10" t="s">
        <v>79</v>
      </c>
      <c r="M80" s="12"/>
      <c r="N80" s="12"/>
      <c r="O80" s="12"/>
      <c r="P80" s="12"/>
      <c r="Q80" s="13"/>
    </row>
    <row r="81" customFormat="false" ht="23.85" hidden="false" customHeight="false" outlineLevel="0" collapsed="false">
      <c r="A81" s="9" t="s">
        <v>377</v>
      </c>
      <c r="B81" s="10" t="s">
        <v>368</v>
      </c>
      <c r="C81" s="10" t="s">
        <v>161</v>
      </c>
      <c r="D81" s="10" t="s">
        <v>162</v>
      </c>
      <c r="E81" s="10" t="s">
        <v>123</v>
      </c>
      <c r="F81" s="10" t="s">
        <v>378</v>
      </c>
      <c r="G81" s="10" t="s">
        <v>379</v>
      </c>
      <c r="H81" s="12" t="s">
        <v>14</v>
      </c>
      <c r="I81" s="10" t="s">
        <v>126</v>
      </c>
      <c r="J81" s="10" t="s">
        <v>165</v>
      </c>
      <c r="K81" s="10"/>
      <c r="L81" s="10" t="s">
        <v>79</v>
      </c>
      <c r="M81" s="12"/>
      <c r="N81" s="12"/>
      <c r="O81" s="12"/>
      <c r="P81" s="12"/>
      <c r="Q81" s="13"/>
    </row>
    <row r="82" customFormat="false" ht="15" hidden="false" customHeight="false" outlineLevel="0" collapsed="false">
      <c r="A82" s="9" t="s">
        <v>380</v>
      </c>
      <c r="B82" s="10" t="s">
        <v>368</v>
      </c>
      <c r="C82" s="10" t="s">
        <v>161</v>
      </c>
      <c r="D82" s="10" t="s">
        <v>162</v>
      </c>
      <c r="E82" s="10" t="s">
        <v>123</v>
      </c>
      <c r="F82" s="10" t="s">
        <v>381</v>
      </c>
      <c r="G82" s="10" t="s">
        <v>382</v>
      </c>
      <c r="H82" s="14" t="s">
        <v>16</v>
      </c>
      <c r="I82" s="10" t="s">
        <v>126</v>
      </c>
      <c r="J82" s="10" t="s">
        <v>165</v>
      </c>
      <c r="K82" s="10"/>
      <c r="L82" s="10" t="s">
        <v>79</v>
      </c>
      <c r="M82" s="12"/>
      <c r="N82" s="12"/>
      <c r="O82" s="12"/>
      <c r="P82" s="12"/>
      <c r="Q82" s="13"/>
    </row>
    <row r="83" customFormat="false" ht="23.85" hidden="false" customHeight="false" outlineLevel="0" collapsed="false">
      <c r="A83" s="9" t="s">
        <v>383</v>
      </c>
      <c r="B83" s="10" t="s">
        <v>368</v>
      </c>
      <c r="C83" s="10" t="s">
        <v>161</v>
      </c>
      <c r="D83" s="10" t="s">
        <v>162</v>
      </c>
      <c r="E83" s="10" t="s">
        <v>100</v>
      </c>
      <c r="F83" s="10" t="s">
        <v>384</v>
      </c>
      <c r="G83" s="10" t="s">
        <v>385</v>
      </c>
      <c r="H83" s="11" t="s">
        <v>18</v>
      </c>
      <c r="I83" s="10" t="s">
        <v>313</v>
      </c>
      <c r="J83" s="10" t="s">
        <v>386</v>
      </c>
      <c r="K83" s="10"/>
      <c r="L83" s="10" t="s">
        <v>79</v>
      </c>
      <c r="M83" s="12"/>
      <c r="N83" s="12"/>
      <c r="O83" s="12"/>
      <c r="P83" s="12"/>
      <c r="Q83" s="13"/>
    </row>
    <row r="84" customFormat="false" ht="15" hidden="false" customHeight="false" outlineLevel="0" collapsed="false">
      <c r="A84" s="9" t="s">
        <v>387</v>
      </c>
      <c r="B84" s="10" t="s">
        <v>368</v>
      </c>
      <c r="C84" s="10" t="s">
        <v>161</v>
      </c>
      <c r="D84" s="10" t="s">
        <v>162</v>
      </c>
      <c r="E84" s="10" t="s">
        <v>238</v>
      </c>
      <c r="F84" s="10" t="s">
        <v>388</v>
      </c>
      <c r="G84" s="10" t="s">
        <v>389</v>
      </c>
      <c r="H84" s="15" t="s">
        <v>12</v>
      </c>
      <c r="I84" s="10" t="s">
        <v>213</v>
      </c>
      <c r="J84" s="10" t="s">
        <v>77</v>
      </c>
      <c r="K84" s="10"/>
      <c r="L84" s="10" t="s">
        <v>79</v>
      </c>
      <c r="M84" s="12"/>
      <c r="N84" s="12"/>
      <c r="O84" s="12"/>
      <c r="P84" s="12"/>
      <c r="Q84" s="13"/>
    </row>
    <row r="85" customFormat="false" ht="15" hidden="false" customHeight="false" outlineLevel="0" collapsed="false">
      <c r="A85" s="9" t="s">
        <v>390</v>
      </c>
      <c r="B85" s="10" t="s">
        <v>368</v>
      </c>
      <c r="C85" s="10" t="s">
        <v>161</v>
      </c>
      <c r="D85" s="10" t="s">
        <v>162</v>
      </c>
      <c r="E85" s="10" t="s">
        <v>91</v>
      </c>
      <c r="F85" s="10" t="s">
        <v>391</v>
      </c>
      <c r="G85" s="10" t="s">
        <v>392</v>
      </c>
      <c r="H85" s="14" t="s">
        <v>16</v>
      </c>
      <c r="I85" s="10" t="s">
        <v>126</v>
      </c>
      <c r="J85" s="10" t="s">
        <v>142</v>
      </c>
      <c r="K85" s="10"/>
      <c r="L85" s="10" t="s">
        <v>79</v>
      </c>
      <c r="M85" s="12"/>
      <c r="N85" s="12"/>
      <c r="O85" s="12"/>
      <c r="P85" s="12"/>
      <c r="Q85" s="13"/>
    </row>
    <row r="86" customFormat="false" ht="23.85" hidden="false" customHeight="false" outlineLevel="0" collapsed="false">
      <c r="A86" s="9" t="s">
        <v>393</v>
      </c>
      <c r="B86" s="10" t="s">
        <v>368</v>
      </c>
      <c r="C86" s="10" t="s">
        <v>161</v>
      </c>
      <c r="D86" s="10" t="s">
        <v>162</v>
      </c>
      <c r="E86" s="10" t="s">
        <v>394</v>
      </c>
      <c r="F86" s="10" t="s">
        <v>395</v>
      </c>
      <c r="G86" s="10" t="s">
        <v>396</v>
      </c>
      <c r="H86" s="15" t="s">
        <v>12</v>
      </c>
      <c r="I86" s="10" t="s">
        <v>213</v>
      </c>
      <c r="J86" s="10" t="s">
        <v>165</v>
      </c>
      <c r="K86" s="10"/>
      <c r="L86" s="10" t="s">
        <v>79</v>
      </c>
      <c r="M86" s="12"/>
      <c r="N86" s="12"/>
      <c r="O86" s="12"/>
      <c r="P86" s="12"/>
      <c r="Q86" s="13"/>
    </row>
    <row r="87" customFormat="false" ht="23.85" hidden="false" customHeight="false" outlineLevel="0" collapsed="false">
      <c r="A87" s="9" t="s">
        <v>397</v>
      </c>
      <c r="B87" s="10" t="s">
        <v>398</v>
      </c>
      <c r="C87" s="10" t="s">
        <v>72</v>
      </c>
      <c r="D87" s="10" t="s">
        <v>73</v>
      </c>
      <c r="E87" s="10" t="s">
        <v>100</v>
      </c>
      <c r="F87" s="10" t="s">
        <v>399</v>
      </c>
      <c r="G87" s="10" t="s">
        <v>400</v>
      </c>
      <c r="H87" s="11" t="s">
        <v>18</v>
      </c>
      <c r="I87" s="10" t="s">
        <v>29</v>
      </c>
      <c r="J87" s="10" t="s">
        <v>29</v>
      </c>
      <c r="K87" s="10"/>
      <c r="L87" s="10" t="s">
        <v>79</v>
      </c>
      <c r="M87" s="12"/>
      <c r="N87" s="12"/>
      <c r="O87" s="12"/>
      <c r="P87" s="12"/>
      <c r="Q87" s="13"/>
    </row>
    <row r="88" customFormat="false" ht="23.85" hidden="false" customHeight="false" outlineLevel="0" collapsed="false">
      <c r="A88" s="9" t="s">
        <v>401</v>
      </c>
      <c r="B88" s="10" t="s">
        <v>398</v>
      </c>
      <c r="C88" s="10" t="s">
        <v>72</v>
      </c>
      <c r="D88" s="10" t="s">
        <v>73</v>
      </c>
      <c r="E88" s="10" t="s">
        <v>100</v>
      </c>
      <c r="F88" s="10" t="s">
        <v>402</v>
      </c>
      <c r="G88" s="10" t="s">
        <v>403</v>
      </c>
      <c r="H88" s="11" t="s">
        <v>18</v>
      </c>
      <c r="I88" s="10" t="s">
        <v>29</v>
      </c>
      <c r="J88" s="10" t="s">
        <v>191</v>
      </c>
      <c r="K88" s="10"/>
      <c r="L88" s="10" t="s">
        <v>79</v>
      </c>
      <c r="M88" s="12"/>
      <c r="N88" s="12"/>
      <c r="O88" s="12"/>
      <c r="P88" s="12"/>
      <c r="Q88" s="13"/>
    </row>
    <row r="89" customFormat="false" ht="23.85" hidden="false" customHeight="false" outlineLevel="0" collapsed="false">
      <c r="A89" s="9" t="s">
        <v>404</v>
      </c>
      <c r="B89" s="10" t="s">
        <v>398</v>
      </c>
      <c r="C89" s="10" t="s">
        <v>72</v>
      </c>
      <c r="D89" s="10" t="s">
        <v>73</v>
      </c>
      <c r="E89" s="10" t="s">
        <v>100</v>
      </c>
      <c r="F89" s="10" t="s">
        <v>405</v>
      </c>
      <c r="G89" s="10" t="s">
        <v>406</v>
      </c>
      <c r="H89" s="11" t="s">
        <v>18</v>
      </c>
      <c r="I89" s="10" t="s">
        <v>29</v>
      </c>
      <c r="J89" s="10" t="s">
        <v>191</v>
      </c>
      <c r="K89" s="10"/>
      <c r="L89" s="10" t="s">
        <v>79</v>
      </c>
      <c r="M89" s="12"/>
      <c r="N89" s="12"/>
      <c r="O89" s="12"/>
      <c r="P89" s="12"/>
      <c r="Q89" s="13"/>
    </row>
    <row r="90" customFormat="false" ht="23.85" hidden="false" customHeight="false" outlineLevel="0" collapsed="false">
      <c r="A90" s="9" t="s">
        <v>407</v>
      </c>
      <c r="B90" s="10" t="s">
        <v>398</v>
      </c>
      <c r="C90" s="10" t="s">
        <v>72</v>
      </c>
      <c r="D90" s="10" t="s">
        <v>73</v>
      </c>
      <c r="E90" s="10" t="s">
        <v>100</v>
      </c>
      <c r="F90" s="10" t="s">
        <v>408</v>
      </c>
      <c r="G90" s="10" t="s">
        <v>409</v>
      </c>
      <c r="H90" s="11" t="s">
        <v>18</v>
      </c>
      <c r="I90" s="10" t="s">
        <v>29</v>
      </c>
      <c r="J90" s="10" t="s">
        <v>29</v>
      </c>
      <c r="K90" s="10"/>
      <c r="L90" s="10" t="s">
        <v>79</v>
      </c>
      <c r="M90" s="12"/>
      <c r="N90" s="12"/>
      <c r="O90" s="12"/>
      <c r="P90" s="12"/>
      <c r="Q90" s="13"/>
    </row>
    <row r="91" customFormat="false" ht="23.85" hidden="false" customHeight="false" outlineLevel="0" collapsed="false">
      <c r="A91" s="9" t="s">
        <v>410</v>
      </c>
      <c r="B91" s="10" t="s">
        <v>398</v>
      </c>
      <c r="C91" s="10" t="s">
        <v>72</v>
      </c>
      <c r="D91" s="10" t="s">
        <v>73</v>
      </c>
      <c r="E91" s="10" t="s">
        <v>100</v>
      </c>
      <c r="F91" s="10" t="s">
        <v>411</v>
      </c>
      <c r="G91" s="10" t="s">
        <v>412</v>
      </c>
      <c r="H91" s="14" t="s">
        <v>16</v>
      </c>
      <c r="I91" s="10" t="s">
        <v>29</v>
      </c>
      <c r="J91" s="10" t="s">
        <v>29</v>
      </c>
      <c r="K91" s="10"/>
      <c r="L91" s="10" t="s">
        <v>79</v>
      </c>
      <c r="M91" s="12"/>
      <c r="N91" s="12"/>
      <c r="O91" s="12"/>
      <c r="P91" s="12"/>
      <c r="Q91" s="13"/>
    </row>
    <row r="92" customFormat="false" ht="23.85" hidden="false" customHeight="false" outlineLevel="0" collapsed="false">
      <c r="A92" s="9" t="s">
        <v>413</v>
      </c>
      <c r="B92" s="10" t="s">
        <v>414</v>
      </c>
      <c r="C92" s="10" t="s">
        <v>72</v>
      </c>
      <c r="D92" s="10" t="s">
        <v>73</v>
      </c>
      <c r="E92" s="10" t="s">
        <v>394</v>
      </c>
      <c r="F92" s="10" t="s">
        <v>415</v>
      </c>
      <c r="G92" s="10" t="s">
        <v>416</v>
      </c>
      <c r="H92" s="15" t="s">
        <v>12</v>
      </c>
      <c r="I92" s="10" t="s">
        <v>29</v>
      </c>
      <c r="J92" s="10" t="s">
        <v>29</v>
      </c>
      <c r="K92" s="10"/>
      <c r="L92" s="10" t="s">
        <v>79</v>
      </c>
      <c r="M92" s="12"/>
      <c r="N92" s="12"/>
      <c r="O92" s="12"/>
      <c r="P92" s="12"/>
      <c r="Q92" s="13"/>
    </row>
    <row r="93" customFormat="false" ht="23.85" hidden="false" customHeight="false" outlineLevel="0" collapsed="false">
      <c r="A93" s="9" t="s">
        <v>417</v>
      </c>
      <c r="B93" s="10" t="s">
        <v>414</v>
      </c>
      <c r="C93" s="10" t="s">
        <v>72</v>
      </c>
      <c r="D93" s="10" t="s">
        <v>73</v>
      </c>
      <c r="E93" s="10" t="s">
        <v>394</v>
      </c>
      <c r="F93" s="10" t="s">
        <v>418</v>
      </c>
      <c r="G93" s="10" t="s">
        <v>419</v>
      </c>
      <c r="H93" s="15" t="s">
        <v>12</v>
      </c>
      <c r="I93" s="10" t="s">
        <v>29</v>
      </c>
      <c r="J93" s="10" t="s">
        <v>29</v>
      </c>
      <c r="K93" s="10"/>
      <c r="L93" s="10" t="s">
        <v>79</v>
      </c>
      <c r="M93" s="12"/>
      <c r="N93" s="12"/>
      <c r="O93" s="12"/>
      <c r="P93" s="12"/>
      <c r="Q93" s="13"/>
    </row>
    <row r="94" customFormat="false" ht="15" hidden="false" customHeight="false" outlineLevel="0" collapsed="false">
      <c r="A94" s="9" t="s">
        <v>420</v>
      </c>
      <c r="B94" s="10" t="s">
        <v>414</v>
      </c>
      <c r="C94" s="10" t="s">
        <v>72</v>
      </c>
      <c r="D94" s="10" t="s">
        <v>73</v>
      </c>
      <c r="E94" s="10" t="s">
        <v>394</v>
      </c>
      <c r="F94" s="10" t="s">
        <v>421</v>
      </c>
      <c r="G94" s="10" t="s">
        <v>422</v>
      </c>
      <c r="H94" s="12" t="s">
        <v>14</v>
      </c>
      <c r="I94" s="10" t="s">
        <v>213</v>
      </c>
      <c r="J94" s="10" t="s">
        <v>29</v>
      </c>
      <c r="K94" s="10"/>
      <c r="L94" s="10" t="s">
        <v>79</v>
      </c>
      <c r="M94" s="12"/>
      <c r="N94" s="12"/>
      <c r="O94" s="12"/>
      <c r="P94" s="12"/>
      <c r="Q94" s="13"/>
    </row>
    <row r="95" customFormat="false" ht="23.85" hidden="false" customHeight="false" outlineLevel="0" collapsed="false">
      <c r="A95" s="9" t="s">
        <v>423</v>
      </c>
      <c r="B95" s="10" t="s">
        <v>424</v>
      </c>
      <c r="C95" s="10" t="s">
        <v>425</v>
      </c>
      <c r="D95" s="10" t="s">
        <v>95</v>
      </c>
      <c r="E95" s="10" t="s">
        <v>123</v>
      </c>
      <c r="F95" s="10" t="s">
        <v>426</v>
      </c>
      <c r="G95" s="10" t="s">
        <v>427</v>
      </c>
      <c r="H95" s="14" t="s">
        <v>16</v>
      </c>
      <c r="I95" s="10" t="s">
        <v>126</v>
      </c>
      <c r="J95" s="10" t="s">
        <v>428</v>
      </c>
      <c r="K95" s="10"/>
      <c r="L95" s="10" t="s">
        <v>79</v>
      </c>
      <c r="M95" s="12"/>
      <c r="N95" s="12"/>
      <c r="O95" s="12"/>
      <c r="P95" s="12"/>
      <c r="Q95" s="13"/>
    </row>
    <row r="96" customFormat="false" ht="35.05" hidden="false" customHeight="false" outlineLevel="0" collapsed="false">
      <c r="A96" s="9" t="s">
        <v>429</v>
      </c>
      <c r="B96" s="10" t="s">
        <v>424</v>
      </c>
      <c r="C96" s="10" t="s">
        <v>430</v>
      </c>
      <c r="D96" s="10" t="s">
        <v>95</v>
      </c>
      <c r="E96" s="10" t="s">
        <v>123</v>
      </c>
      <c r="F96" s="10" t="s">
        <v>431</v>
      </c>
      <c r="G96" s="10" t="s">
        <v>432</v>
      </c>
      <c r="H96" s="14" t="s">
        <v>16</v>
      </c>
      <c r="I96" s="10" t="s">
        <v>126</v>
      </c>
      <c r="J96" s="10" t="s">
        <v>433</v>
      </c>
      <c r="K96" s="10"/>
      <c r="L96" s="10" t="s">
        <v>79</v>
      </c>
      <c r="M96" s="12"/>
      <c r="N96" s="12"/>
      <c r="O96" s="12"/>
      <c r="P96" s="12"/>
      <c r="Q96" s="13"/>
    </row>
    <row r="97" customFormat="false" ht="23.85" hidden="false" customHeight="false" outlineLevel="0" collapsed="false">
      <c r="A97" s="9" t="s">
        <v>434</v>
      </c>
      <c r="B97" s="10" t="s">
        <v>424</v>
      </c>
      <c r="C97" s="10" t="s">
        <v>435</v>
      </c>
      <c r="D97" s="10" t="s">
        <v>95</v>
      </c>
      <c r="E97" s="10" t="s">
        <v>123</v>
      </c>
      <c r="F97" s="10" t="s">
        <v>436</v>
      </c>
      <c r="G97" s="10" t="s">
        <v>437</v>
      </c>
      <c r="H97" s="14" t="s">
        <v>16</v>
      </c>
      <c r="I97" s="10" t="s">
        <v>126</v>
      </c>
      <c r="J97" s="10" t="s">
        <v>438</v>
      </c>
      <c r="K97" s="10"/>
      <c r="L97" s="10" t="s">
        <v>79</v>
      </c>
      <c r="M97" s="12"/>
      <c r="N97" s="12"/>
      <c r="O97" s="12"/>
      <c r="P97" s="12"/>
      <c r="Q97" s="13"/>
    </row>
  </sheetData>
  <autoFilter ref="A1:Q97"/>
  <dataValidations count="2">
    <dataValidation allowBlank="true" errorStyle="stop" operator="between" showDropDown="false" showErrorMessage="false" showInputMessage="false" sqref="M2:N197" type="list">
      <formula1>"Approve,Change,Reject"</formula1>
      <formula2>0</formula2>
    </dataValidation>
    <dataValidation allowBlank="false" errorStyle="stop" operator="between" showDropDown="false" showErrorMessage="false" showInputMessage="false" sqref="L2:L197" type="list">
      <formula1>"Draft,Approved,Retired"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2"/>
    <col collapsed="false" customWidth="true" hidden="false" outlineLevel="0" max="4" min="3" style="0" width="14"/>
    <col collapsed="false" customWidth="true" hidden="false" outlineLevel="0" max="5" min="5" style="0" width="40"/>
  </cols>
  <sheetData>
    <row r="1" customFormat="false" ht="31.5" hidden="false" customHeight="true" outlineLevel="0" collapsed="false">
      <c r="A1" s="8" t="s">
        <v>439</v>
      </c>
      <c r="B1" s="8" t="s">
        <v>440</v>
      </c>
      <c r="C1" s="8" t="s">
        <v>65</v>
      </c>
      <c r="D1" s="8" t="s">
        <v>66</v>
      </c>
      <c r="E1" s="8" t="s">
        <v>441</v>
      </c>
    </row>
    <row r="2" customFormat="false" ht="15" hidden="false" customHeight="false" outlineLevel="0" collapsed="false">
      <c r="A2" s="10" t="s">
        <v>442</v>
      </c>
      <c r="B2" s="10" t="s">
        <v>443</v>
      </c>
      <c r="C2" s="12"/>
      <c r="D2" s="12"/>
      <c r="E2" s="12"/>
    </row>
    <row r="3" customFormat="false" ht="15" hidden="false" customHeight="false" outlineLevel="0" collapsed="false">
      <c r="A3" s="10" t="s">
        <v>444</v>
      </c>
      <c r="B3" s="10" t="s">
        <v>445</v>
      </c>
      <c r="C3" s="12"/>
      <c r="D3" s="12"/>
      <c r="E3" s="12"/>
    </row>
    <row r="4" customFormat="false" ht="15" hidden="false" customHeight="false" outlineLevel="0" collapsed="false">
      <c r="A4" s="10" t="s">
        <v>446</v>
      </c>
      <c r="B4" s="10" t="s">
        <v>29</v>
      </c>
      <c r="C4" s="12"/>
      <c r="D4" s="12"/>
      <c r="E4" s="12"/>
    </row>
    <row r="5" customFormat="false" ht="15" hidden="false" customHeight="false" outlineLevel="0" collapsed="false">
      <c r="A5" s="10" t="s">
        <v>447</v>
      </c>
      <c r="B5" s="10" t="s">
        <v>29</v>
      </c>
      <c r="C5" s="12"/>
      <c r="D5" s="12"/>
      <c r="E5" s="12"/>
    </row>
    <row r="6" customFormat="false" ht="15" hidden="false" customHeight="false" outlineLevel="0" collapsed="false">
      <c r="A6" s="10" t="s">
        <v>448</v>
      </c>
      <c r="B6" s="10" t="s">
        <v>29</v>
      </c>
      <c r="C6" s="12"/>
      <c r="D6" s="12"/>
      <c r="E6" s="12"/>
    </row>
    <row r="7" customFormat="false" ht="15" hidden="false" customHeight="false" outlineLevel="0" collapsed="false">
      <c r="A7" s="10" t="s">
        <v>449</v>
      </c>
      <c r="B7" s="10" t="s">
        <v>29</v>
      </c>
      <c r="C7" s="12"/>
      <c r="D7" s="12"/>
      <c r="E7" s="12"/>
    </row>
    <row r="8" customFormat="false" ht="15" hidden="false" customHeight="false" outlineLevel="0" collapsed="false">
      <c r="A8" s="10" t="s">
        <v>450</v>
      </c>
      <c r="B8" s="10" t="s">
        <v>29</v>
      </c>
      <c r="C8" s="12"/>
      <c r="D8" s="12"/>
      <c r="E8" s="12"/>
    </row>
    <row r="9" customFormat="false" ht="15" hidden="false" customHeight="false" outlineLevel="0" collapsed="false">
      <c r="A9" s="10" t="s">
        <v>451</v>
      </c>
      <c r="B9" s="10" t="s">
        <v>452</v>
      </c>
      <c r="C9" s="12"/>
      <c r="D9" s="12"/>
      <c r="E9" s="12"/>
    </row>
    <row r="10" customFormat="false" ht="15" hidden="false" customHeight="false" outlineLevel="0" collapsed="false">
      <c r="A10" s="10" t="s">
        <v>453</v>
      </c>
      <c r="B10" s="10" t="s">
        <v>29</v>
      </c>
      <c r="C10" s="12"/>
      <c r="D10" s="12"/>
      <c r="E10" s="12"/>
    </row>
    <row r="11" customFormat="false" ht="15" hidden="false" customHeight="false" outlineLevel="0" collapsed="false">
      <c r="A11" s="10" t="s">
        <v>454</v>
      </c>
      <c r="B11" s="10" t="s">
        <v>29</v>
      </c>
      <c r="C11" s="12"/>
      <c r="D11" s="12"/>
      <c r="E11" s="12"/>
    </row>
    <row r="12" customFormat="false" ht="15" hidden="false" customHeight="false" outlineLevel="0" collapsed="false">
      <c r="A12" s="10" t="s">
        <v>455</v>
      </c>
      <c r="B12" s="10" t="s">
        <v>456</v>
      </c>
      <c r="C12" s="12"/>
      <c r="D12" s="12"/>
      <c r="E12" s="12"/>
    </row>
    <row r="13" customFormat="false" ht="15" hidden="false" customHeight="false" outlineLevel="0" collapsed="false">
      <c r="A13" s="10" t="s">
        <v>457</v>
      </c>
      <c r="B13" s="10" t="s">
        <v>29</v>
      </c>
      <c r="C13" s="12"/>
      <c r="D13" s="12"/>
      <c r="E13" s="12"/>
    </row>
    <row r="15" customFormat="false" ht="39.75" hidden="false" customHeight="true" outlineLevel="0" collapsed="false">
      <c r="A15" s="16" t="s">
        <v>458</v>
      </c>
      <c r="B15" s="16"/>
      <c r="C15" s="16"/>
      <c r="D15" s="16"/>
      <c r="E15" s="16"/>
    </row>
  </sheetData>
  <mergeCells count="1">
    <mergeCell ref="A15:E15"/>
  </mergeCells>
  <dataValidations count="1">
    <dataValidation allowBlank="true" errorStyle="stop" operator="between" showDropDown="false" showErrorMessage="false" showInputMessage="false" sqref="C2:D42" type="list">
      <formula1>"Approve,Change,Reject"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36"/>
    <col collapsed="false" customWidth="true" hidden="false" outlineLevel="0" max="3" min="3" style="0" width="12"/>
    <col collapsed="false" customWidth="true" hidden="false" outlineLevel="0" max="4" min="4" style="0" width="16"/>
    <col collapsed="false" customWidth="true" hidden="false" outlineLevel="0" max="5" min="5" style="0" width="32"/>
    <col collapsed="false" customWidth="true" hidden="false" outlineLevel="0" max="6" min="6" style="0" width="36"/>
  </cols>
  <sheetData>
    <row r="1" customFormat="false" ht="31.5" hidden="false" customHeight="true" outlineLevel="0" collapsed="false">
      <c r="A1" s="8" t="s">
        <v>459</v>
      </c>
      <c r="B1" s="8" t="s">
        <v>460</v>
      </c>
      <c r="C1" s="8" t="s">
        <v>461</v>
      </c>
      <c r="D1" s="8" t="s">
        <v>462</v>
      </c>
      <c r="E1" s="8" t="s">
        <v>463</v>
      </c>
      <c r="F1" s="8" t="s">
        <v>67</v>
      </c>
    </row>
    <row r="2" customFormat="false" ht="15" hidden="false" customHeight="false" outlineLevel="0" collapsed="false">
      <c r="A2" s="10" t="s">
        <v>464</v>
      </c>
      <c r="B2" s="10" t="s">
        <v>465</v>
      </c>
      <c r="C2" s="10" t="s">
        <v>73</v>
      </c>
      <c r="D2" s="10" t="s">
        <v>466</v>
      </c>
      <c r="E2" s="10" t="s">
        <v>467</v>
      </c>
      <c r="F2" s="12"/>
    </row>
    <row r="3" customFormat="false" ht="15" hidden="false" customHeight="false" outlineLevel="0" collapsed="false">
      <c r="A3" s="10" t="s">
        <v>468</v>
      </c>
      <c r="B3" s="10" t="s">
        <v>469</v>
      </c>
      <c r="C3" s="10" t="s">
        <v>73</v>
      </c>
      <c r="D3" s="10" t="s">
        <v>466</v>
      </c>
      <c r="E3" s="10" t="s">
        <v>470</v>
      </c>
      <c r="F3" s="12"/>
    </row>
    <row r="4" customFormat="false" ht="15" hidden="false" customHeight="false" outlineLevel="0" collapsed="false">
      <c r="A4" s="10" t="s">
        <v>471</v>
      </c>
      <c r="B4" s="10" t="s">
        <v>472</v>
      </c>
      <c r="C4" s="10" t="s">
        <v>73</v>
      </c>
      <c r="D4" s="10" t="s">
        <v>473</v>
      </c>
      <c r="E4" s="10" t="s">
        <v>135</v>
      </c>
      <c r="F4" s="12"/>
    </row>
    <row r="5" customFormat="false" ht="15" hidden="false" customHeight="false" outlineLevel="0" collapsed="false">
      <c r="A5" s="10" t="s">
        <v>474</v>
      </c>
      <c r="B5" s="10" t="s">
        <v>475</v>
      </c>
      <c r="C5" s="10" t="s">
        <v>95</v>
      </c>
      <c r="D5" s="10" t="s">
        <v>466</v>
      </c>
      <c r="E5" s="10" t="s">
        <v>121</v>
      </c>
      <c r="F5" s="12"/>
    </row>
    <row r="6" customFormat="false" ht="15" hidden="false" customHeight="false" outlineLevel="0" collapsed="false">
      <c r="A6" s="10" t="s">
        <v>476</v>
      </c>
      <c r="B6" s="10" t="s">
        <v>477</v>
      </c>
      <c r="C6" s="10" t="s">
        <v>95</v>
      </c>
      <c r="D6" s="10" t="s">
        <v>466</v>
      </c>
      <c r="E6" s="10" t="s">
        <v>478</v>
      </c>
      <c r="F6" s="12"/>
    </row>
    <row r="7" customFormat="false" ht="15" hidden="false" customHeight="false" outlineLevel="0" collapsed="false">
      <c r="A7" s="10" t="s">
        <v>479</v>
      </c>
      <c r="B7" s="10" t="s">
        <v>480</v>
      </c>
      <c r="C7" s="10" t="s">
        <v>95</v>
      </c>
      <c r="D7" s="10" t="s">
        <v>466</v>
      </c>
      <c r="E7" s="10" t="s">
        <v>481</v>
      </c>
      <c r="F7" s="12"/>
    </row>
    <row r="8" customFormat="false" ht="23.85" hidden="false" customHeight="false" outlineLevel="0" collapsed="false">
      <c r="A8" s="10" t="s">
        <v>482</v>
      </c>
      <c r="B8" s="10" t="s">
        <v>483</v>
      </c>
      <c r="C8" s="10" t="s">
        <v>95</v>
      </c>
      <c r="D8" s="10" t="s">
        <v>466</v>
      </c>
      <c r="E8" s="10" t="s">
        <v>484</v>
      </c>
      <c r="F8" s="12"/>
    </row>
    <row r="9" customFormat="false" ht="15" hidden="false" customHeight="false" outlineLevel="0" collapsed="false">
      <c r="A9" s="10" t="s">
        <v>485</v>
      </c>
      <c r="B9" s="10" t="s">
        <v>486</v>
      </c>
      <c r="C9" s="10" t="s">
        <v>95</v>
      </c>
      <c r="D9" s="10" t="s">
        <v>487</v>
      </c>
      <c r="E9" s="10" t="s">
        <v>488</v>
      </c>
      <c r="F9" s="12"/>
    </row>
    <row r="10" customFormat="false" ht="15" hidden="false" customHeight="false" outlineLevel="0" collapsed="false">
      <c r="A10" s="10" t="s">
        <v>489</v>
      </c>
      <c r="B10" s="10" t="s">
        <v>490</v>
      </c>
      <c r="C10" s="10" t="s">
        <v>95</v>
      </c>
      <c r="D10" s="10" t="s">
        <v>466</v>
      </c>
      <c r="E10" s="10" t="s">
        <v>434</v>
      </c>
      <c r="F10" s="12"/>
    </row>
    <row r="11" customFormat="false" ht="15" hidden="false" customHeight="false" outlineLevel="0" collapsed="false">
      <c r="A11" s="10" t="s">
        <v>491</v>
      </c>
      <c r="B11" s="10" t="s">
        <v>492</v>
      </c>
      <c r="C11" s="10" t="s">
        <v>95</v>
      </c>
      <c r="D11" s="10" t="s">
        <v>493</v>
      </c>
      <c r="E11" s="10" t="s">
        <v>323</v>
      </c>
      <c r="F11" s="12"/>
    </row>
    <row r="12" customFormat="false" ht="15" hidden="false" customHeight="false" outlineLevel="0" collapsed="false">
      <c r="A12" s="10" t="s">
        <v>494</v>
      </c>
      <c r="B12" s="10" t="s">
        <v>495</v>
      </c>
      <c r="C12" s="10" t="s">
        <v>95</v>
      </c>
      <c r="D12" s="10" t="s">
        <v>496</v>
      </c>
      <c r="E12" s="10" t="s">
        <v>337</v>
      </c>
      <c r="F12" s="12"/>
    </row>
    <row r="13" customFormat="false" ht="15" hidden="false" customHeight="false" outlineLevel="0" collapsed="false">
      <c r="A13" s="10" t="s">
        <v>497</v>
      </c>
      <c r="B13" s="10" t="s">
        <v>498</v>
      </c>
      <c r="C13" s="10" t="s">
        <v>95</v>
      </c>
      <c r="D13" s="10" t="s">
        <v>499</v>
      </c>
      <c r="E13" s="10" t="s">
        <v>500</v>
      </c>
      <c r="F13" s="12"/>
    </row>
    <row r="14" customFormat="false" ht="23.85" hidden="false" customHeight="false" outlineLevel="0" collapsed="false">
      <c r="A14" s="10" t="s">
        <v>501</v>
      </c>
      <c r="B14" s="10" t="s">
        <v>502</v>
      </c>
      <c r="C14" s="10" t="s">
        <v>95</v>
      </c>
      <c r="D14" s="10" t="s">
        <v>503</v>
      </c>
      <c r="E14" s="10" t="s">
        <v>504</v>
      </c>
      <c r="F14" s="12"/>
    </row>
    <row r="15" customFormat="false" ht="23.85" hidden="false" customHeight="false" outlineLevel="0" collapsed="false">
      <c r="A15" s="10" t="s">
        <v>505</v>
      </c>
      <c r="B15" s="10" t="s">
        <v>506</v>
      </c>
      <c r="C15" s="10" t="s">
        <v>162</v>
      </c>
      <c r="D15" s="10" t="s">
        <v>507</v>
      </c>
      <c r="E15" s="10" t="s">
        <v>508</v>
      </c>
      <c r="F15" s="12"/>
    </row>
    <row r="16" customFormat="false" ht="23.85" hidden="false" customHeight="false" outlineLevel="0" collapsed="false">
      <c r="A16" s="10" t="s">
        <v>509</v>
      </c>
      <c r="B16" s="10" t="s">
        <v>510</v>
      </c>
      <c r="C16" s="10" t="s">
        <v>162</v>
      </c>
      <c r="D16" s="10" t="s">
        <v>507</v>
      </c>
      <c r="E16" s="10" t="s">
        <v>511</v>
      </c>
      <c r="F16" s="12"/>
    </row>
    <row r="17" customFormat="false" ht="23.85" hidden="false" customHeight="false" outlineLevel="0" collapsed="false">
      <c r="A17" s="10" t="s">
        <v>512</v>
      </c>
      <c r="B17" s="10" t="s">
        <v>513</v>
      </c>
      <c r="C17" s="10" t="s">
        <v>73</v>
      </c>
      <c r="D17" s="10" t="s">
        <v>487</v>
      </c>
      <c r="E17" s="10" t="s">
        <v>514</v>
      </c>
      <c r="F17" s="12"/>
    </row>
    <row r="18" customFormat="false" ht="15" hidden="false" customHeight="false" outlineLevel="0" collapsed="false">
      <c r="A18" s="10" t="s">
        <v>515</v>
      </c>
      <c r="B18" s="10" t="s">
        <v>516</v>
      </c>
      <c r="C18" s="10" t="s">
        <v>73</v>
      </c>
      <c r="D18" s="10" t="s">
        <v>466</v>
      </c>
      <c r="E18" s="10" t="s">
        <v>517</v>
      </c>
      <c r="F18" s="12"/>
    </row>
    <row r="19" customFormat="false" ht="15" hidden="false" customHeight="false" outlineLevel="0" collapsed="false">
      <c r="A19" s="10" t="s">
        <v>518</v>
      </c>
      <c r="B19" s="10" t="s">
        <v>516</v>
      </c>
      <c r="C19" s="10" t="s">
        <v>73</v>
      </c>
      <c r="D19" s="10" t="s">
        <v>466</v>
      </c>
      <c r="E19" s="10" t="s">
        <v>519</v>
      </c>
      <c r="F19" s="12"/>
    </row>
    <row r="20" customFormat="false" ht="15" hidden="false" customHeight="false" outlineLevel="0" collapsed="false">
      <c r="A20" s="10" t="s">
        <v>520</v>
      </c>
      <c r="B20" s="10" t="s">
        <v>521</v>
      </c>
      <c r="C20" s="10" t="s">
        <v>73</v>
      </c>
      <c r="D20" s="10" t="s">
        <v>466</v>
      </c>
      <c r="E20" s="10" t="s">
        <v>522</v>
      </c>
      <c r="F20" s="12"/>
    </row>
    <row r="21" customFormat="false" ht="15" hidden="false" customHeight="false" outlineLevel="0" collapsed="false">
      <c r="A21" s="10" t="s">
        <v>523</v>
      </c>
      <c r="B21" s="10" t="s">
        <v>524</v>
      </c>
      <c r="C21" s="10" t="s">
        <v>73</v>
      </c>
      <c r="D21" s="10" t="s">
        <v>466</v>
      </c>
      <c r="E21" s="10" t="s">
        <v>407</v>
      </c>
      <c r="F21" s="12"/>
    </row>
    <row r="22" customFormat="false" ht="15" hidden="false" customHeight="false" outlineLevel="0" collapsed="false">
      <c r="A22" s="10" t="s">
        <v>525</v>
      </c>
      <c r="B22" s="10" t="s">
        <v>526</v>
      </c>
      <c r="C22" s="10" t="s">
        <v>73</v>
      </c>
      <c r="D22" s="10" t="s">
        <v>466</v>
      </c>
      <c r="E22" s="10" t="s">
        <v>527</v>
      </c>
      <c r="F22" s="12"/>
    </row>
    <row r="23" customFormat="false" ht="15" hidden="false" customHeight="false" outlineLevel="0" collapsed="false">
      <c r="A23" s="10" t="s">
        <v>528</v>
      </c>
      <c r="B23" s="10" t="s">
        <v>529</v>
      </c>
      <c r="C23" s="10" t="s">
        <v>73</v>
      </c>
      <c r="D23" s="10" t="s">
        <v>473</v>
      </c>
      <c r="E23" s="10" t="s">
        <v>217</v>
      </c>
      <c r="F23" s="12"/>
    </row>
    <row r="24" customFormat="false" ht="15" hidden="false" customHeight="false" outlineLevel="0" collapsed="false">
      <c r="A24" s="10" t="s">
        <v>530</v>
      </c>
      <c r="B24" s="10" t="s">
        <v>531</v>
      </c>
      <c r="C24" s="10" t="s">
        <v>73</v>
      </c>
      <c r="D24" s="10" t="s">
        <v>466</v>
      </c>
      <c r="E24" s="10" t="s">
        <v>532</v>
      </c>
      <c r="F24" s="12"/>
    </row>
    <row r="25" customFormat="false" ht="15" hidden="false" customHeight="false" outlineLevel="0" collapsed="false">
      <c r="A25" s="10" t="s">
        <v>533</v>
      </c>
      <c r="B25" s="10" t="s">
        <v>534</v>
      </c>
      <c r="C25" s="10" t="s">
        <v>73</v>
      </c>
      <c r="D25" s="10" t="s">
        <v>466</v>
      </c>
      <c r="E25" s="10" t="s">
        <v>535</v>
      </c>
      <c r="F25" s="12"/>
    </row>
    <row r="26" customFormat="false" ht="23.85" hidden="false" customHeight="false" outlineLevel="0" collapsed="false">
      <c r="A26" s="10" t="s">
        <v>536</v>
      </c>
      <c r="B26" s="10" t="s">
        <v>537</v>
      </c>
      <c r="C26" s="10" t="s">
        <v>95</v>
      </c>
      <c r="D26" s="10" t="s">
        <v>538</v>
      </c>
      <c r="E26" s="10" t="s">
        <v>539</v>
      </c>
      <c r="F26"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20"/>
    <col collapsed="false" customWidth="true" hidden="false" outlineLevel="0" max="4" min="4" style="0" width="16"/>
    <col collapsed="false" customWidth="true" hidden="false" outlineLevel="0" max="5" min="5" style="0" width="24"/>
    <col collapsed="false" customWidth="true" hidden="false" outlineLevel="0" max="7" min="6" style="0" width="10"/>
    <col collapsed="false" customWidth="true" hidden="false" outlineLevel="0" max="8" min="8" style="0" width="18"/>
    <col collapsed="false" customWidth="true" hidden="false" outlineLevel="0" max="9" min="9" style="0" width="14"/>
    <col collapsed="false" customWidth="true" hidden="false" outlineLevel="0" max="10" min="10" style="0" width="18"/>
    <col collapsed="false" customWidth="true" hidden="false" outlineLevel="0" max="11" min="11" style="0" width="8"/>
    <col collapsed="false" customWidth="true" hidden="false" outlineLevel="0" max="12" min="12" style="0" width="14"/>
    <col collapsed="false" customWidth="true" hidden="false" outlineLevel="0" max="13" min="13" style="0" width="26"/>
    <col collapsed="false" customWidth="true" hidden="false" outlineLevel="0" max="14" min="14" style="0" width="18"/>
    <col collapsed="false" customWidth="true" hidden="false" outlineLevel="0" max="15" min="15" style="0" width="16"/>
    <col collapsed="false" customWidth="true" hidden="false" outlineLevel="0" max="16" min="16" style="0" width="14"/>
    <col collapsed="false" customWidth="true" hidden="false" outlineLevel="0" max="17" min="17" style="0" width="16"/>
    <col collapsed="false" customWidth="true" hidden="false" outlineLevel="0" max="18" min="18" style="0" width="14"/>
  </cols>
  <sheetData>
    <row r="1" customFormat="false" ht="31.5" hidden="false" customHeight="true" outlineLevel="0" collapsed="false">
      <c r="A1" s="8" t="s">
        <v>540</v>
      </c>
      <c r="B1" s="8" t="s">
        <v>541</v>
      </c>
      <c r="C1" s="8" t="s">
        <v>542</v>
      </c>
      <c r="D1" s="8" t="s">
        <v>543</v>
      </c>
      <c r="E1" s="8" t="s">
        <v>544</v>
      </c>
      <c r="F1" s="8" t="s">
        <v>545</v>
      </c>
      <c r="G1" s="8" t="s">
        <v>62</v>
      </c>
      <c r="H1" s="8" t="s">
        <v>546</v>
      </c>
      <c r="I1" s="8" t="s">
        <v>547</v>
      </c>
      <c r="J1" s="8" t="s">
        <v>548</v>
      </c>
      <c r="K1" s="8" t="s">
        <v>549</v>
      </c>
      <c r="L1" s="8" t="s">
        <v>550</v>
      </c>
      <c r="M1" s="8" t="s">
        <v>551</v>
      </c>
      <c r="N1" s="8" t="s">
        <v>552</v>
      </c>
      <c r="O1" s="8" t="s">
        <v>553</v>
      </c>
      <c r="P1" s="8" t="s">
        <v>554</v>
      </c>
      <c r="Q1" s="8" t="s">
        <v>555</v>
      </c>
      <c r="R1" s="8" t="s">
        <v>68</v>
      </c>
    </row>
    <row r="2" customFormat="false" ht="23.85" hidden="false" customHeight="false" outlineLevel="0" collapsed="false">
      <c r="A2" s="17" t="s">
        <v>556</v>
      </c>
      <c r="B2" s="17" t="s">
        <v>557</v>
      </c>
      <c r="C2" s="17" t="s">
        <v>557</v>
      </c>
      <c r="D2" s="17" t="s">
        <v>558</v>
      </c>
      <c r="E2" s="17" t="s">
        <v>559</v>
      </c>
      <c r="F2" s="17" t="s">
        <v>126</v>
      </c>
      <c r="G2" s="17" t="s">
        <v>77</v>
      </c>
      <c r="H2" s="17" t="s">
        <v>560</v>
      </c>
      <c r="I2" s="17" t="s">
        <v>561</v>
      </c>
      <c r="J2" s="17" t="s">
        <v>562</v>
      </c>
      <c r="K2" s="17" t="s">
        <v>563</v>
      </c>
      <c r="L2" s="17" t="s">
        <v>473</v>
      </c>
      <c r="M2" s="17" t="s">
        <v>564</v>
      </c>
      <c r="N2" s="17" t="s">
        <v>29</v>
      </c>
      <c r="O2" s="17" t="s">
        <v>29</v>
      </c>
      <c r="P2" s="17" t="s">
        <v>565</v>
      </c>
      <c r="Q2" s="17" t="s">
        <v>566</v>
      </c>
      <c r="R2" s="17"/>
    </row>
    <row r="3" customFormat="false" ht="15" hidden="false" customHeight="false" outlineLevel="0" collapsed="false">
      <c r="A3" s="12"/>
      <c r="B3" s="12"/>
      <c r="C3" s="12"/>
      <c r="D3" s="12"/>
      <c r="E3" s="12"/>
      <c r="F3" s="12"/>
      <c r="G3" s="12"/>
      <c r="H3" s="12"/>
      <c r="I3" s="12"/>
      <c r="J3" s="12"/>
      <c r="K3" s="12"/>
      <c r="L3" s="12"/>
      <c r="M3" s="12"/>
      <c r="N3" s="12"/>
      <c r="O3" s="12"/>
      <c r="P3" s="12"/>
      <c r="Q3" s="12"/>
      <c r="R3" s="12"/>
    </row>
    <row r="4" customFormat="false" ht="15" hidden="false" customHeight="false" outlineLevel="0" collapsed="false">
      <c r="A4" s="12"/>
      <c r="B4" s="12"/>
      <c r="C4" s="12"/>
      <c r="D4" s="12"/>
      <c r="E4" s="12"/>
      <c r="F4" s="12"/>
      <c r="G4" s="12"/>
      <c r="H4" s="12"/>
      <c r="I4" s="12"/>
      <c r="J4" s="12"/>
      <c r="K4" s="12"/>
      <c r="L4" s="12"/>
      <c r="M4" s="12"/>
      <c r="N4" s="12"/>
      <c r="O4" s="12"/>
      <c r="P4" s="12"/>
      <c r="Q4" s="12"/>
      <c r="R4" s="12"/>
    </row>
    <row r="5" customFormat="false" ht="15" hidden="false" customHeight="false" outlineLevel="0" collapsed="false">
      <c r="A5" s="12"/>
      <c r="B5" s="12"/>
      <c r="C5" s="12"/>
      <c r="D5" s="12"/>
      <c r="E5" s="12"/>
      <c r="F5" s="12"/>
      <c r="G5" s="12"/>
      <c r="H5" s="12"/>
      <c r="I5" s="12"/>
      <c r="J5" s="12"/>
      <c r="K5" s="12"/>
      <c r="L5" s="12"/>
      <c r="M5" s="12"/>
      <c r="N5" s="12"/>
      <c r="O5" s="12"/>
      <c r="P5" s="12"/>
      <c r="Q5" s="12"/>
      <c r="R5" s="12"/>
    </row>
    <row r="6" customFormat="false" ht="15" hidden="false" customHeight="false" outlineLevel="0" collapsed="false">
      <c r="A6" s="12"/>
      <c r="B6" s="12"/>
      <c r="C6" s="12"/>
      <c r="D6" s="12"/>
      <c r="E6" s="12"/>
      <c r="F6" s="12"/>
      <c r="G6" s="12"/>
      <c r="H6" s="12"/>
      <c r="I6" s="12"/>
      <c r="J6" s="12"/>
      <c r="K6" s="12"/>
      <c r="L6" s="12"/>
      <c r="M6" s="12"/>
      <c r="N6" s="12"/>
      <c r="O6" s="12"/>
      <c r="P6" s="12"/>
      <c r="Q6" s="12"/>
      <c r="R6" s="12"/>
    </row>
    <row r="7" customFormat="false" ht="15" hidden="false" customHeight="false" outlineLevel="0" collapsed="false">
      <c r="A7" s="12"/>
      <c r="B7" s="12"/>
      <c r="C7" s="12"/>
      <c r="D7" s="12"/>
      <c r="E7" s="12"/>
      <c r="F7" s="12"/>
      <c r="G7" s="12"/>
      <c r="H7" s="12"/>
      <c r="I7" s="12"/>
      <c r="J7" s="12"/>
      <c r="K7" s="12"/>
      <c r="L7" s="12"/>
      <c r="M7" s="12"/>
      <c r="N7" s="12"/>
      <c r="O7" s="12"/>
      <c r="P7" s="12"/>
      <c r="Q7" s="12"/>
      <c r="R7" s="12"/>
    </row>
    <row r="8" customFormat="false" ht="15" hidden="false" customHeight="false" outlineLevel="0" collapsed="false">
      <c r="A8" s="12"/>
      <c r="B8" s="12"/>
      <c r="C8" s="12"/>
      <c r="D8" s="12"/>
      <c r="E8" s="12"/>
      <c r="F8" s="12"/>
      <c r="G8" s="12"/>
      <c r="H8" s="12"/>
      <c r="I8" s="12"/>
      <c r="J8" s="12"/>
      <c r="K8" s="12"/>
      <c r="L8" s="12"/>
      <c r="M8" s="12"/>
      <c r="N8" s="12"/>
      <c r="O8" s="12"/>
      <c r="P8" s="12"/>
      <c r="Q8" s="12"/>
      <c r="R8" s="12"/>
    </row>
    <row r="9" customFormat="false" ht="15" hidden="false" customHeight="false" outlineLevel="0" collapsed="false">
      <c r="A9" s="12"/>
      <c r="B9" s="12"/>
      <c r="C9" s="12"/>
      <c r="D9" s="12"/>
      <c r="E9" s="12"/>
      <c r="F9" s="12"/>
      <c r="G9" s="12"/>
      <c r="H9" s="12"/>
      <c r="I9" s="12"/>
      <c r="J9" s="12"/>
      <c r="K9" s="12"/>
      <c r="L9" s="12"/>
      <c r="M9" s="12"/>
      <c r="N9" s="12"/>
      <c r="O9" s="12"/>
      <c r="P9" s="12"/>
      <c r="Q9" s="12"/>
      <c r="R9" s="12"/>
    </row>
    <row r="10" customFormat="false" ht="15" hidden="false" customHeight="false" outlineLevel="0" collapsed="false">
      <c r="A10" s="12"/>
      <c r="B10" s="12"/>
      <c r="C10" s="12"/>
      <c r="D10" s="12"/>
      <c r="E10" s="12"/>
      <c r="F10" s="12"/>
      <c r="G10" s="12"/>
      <c r="H10" s="12"/>
      <c r="I10" s="12"/>
      <c r="J10" s="12"/>
      <c r="K10" s="12"/>
      <c r="L10" s="12"/>
      <c r="M10" s="12"/>
      <c r="N10" s="12"/>
      <c r="O10" s="12"/>
      <c r="P10" s="12"/>
      <c r="Q10" s="12"/>
      <c r="R10" s="12"/>
    </row>
    <row r="11" customFormat="false" ht="15" hidden="false" customHeight="false" outlineLevel="0" collapsed="false">
      <c r="A11" s="12"/>
      <c r="B11" s="12"/>
      <c r="C11" s="12"/>
      <c r="D11" s="12"/>
      <c r="E11" s="12"/>
      <c r="F11" s="12"/>
      <c r="G11" s="12"/>
      <c r="H11" s="12"/>
      <c r="I11" s="12"/>
      <c r="J11" s="12"/>
      <c r="K11" s="12"/>
      <c r="L11" s="12"/>
      <c r="M11" s="12"/>
      <c r="N11" s="12"/>
      <c r="O11" s="12"/>
      <c r="P11" s="12"/>
      <c r="Q11" s="12"/>
      <c r="R11" s="12"/>
    </row>
    <row r="12" customFormat="false" ht="15" hidden="false" customHeight="false" outlineLevel="0" collapsed="false">
      <c r="A12" s="12"/>
      <c r="B12" s="12"/>
      <c r="C12" s="12"/>
      <c r="D12" s="12"/>
      <c r="E12" s="12"/>
      <c r="F12" s="12"/>
      <c r="G12" s="12"/>
      <c r="H12" s="12"/>
      <c r="I12" s="12"/>
      <c r="J12" s="12"/>
      <c r="K12" s="12"/>
      <c r="L12" s="12"/>
      <c r="M12" s="12"/>
      <c r="N12" s="12"/>
      <c r="O12" s="12"/>
      <c r="P12" s="12"/>
      <c r="Q12" s="12"/>
      <c r="R12" s="12"/>
    </row>
    <row r="13" customFormat="false" ht="15" hidden="false" customHeight="false" outlineLevel="0" collapsed="false">
      <c r="A13" s="12"/>
      <c r="B13" s="12"/>
      <c r="C13" s="12"/>
      <c r="D13" s="12"/>
      <c r="E13" s="12"/>
      <c r="F13" s="12"/>
      <c r="G13" s="12"/>
      <c r="H13" s="12"/>
      <c r="I13" s="12"/>
      <c r="J13" s="12"/>
      <c r="K13" s="12"/>
      <c r="L13" s="12"/>
      <c r="M13" s="12"/>
      <c r="N13" s="12"/>
      <c r="O13" s="12"/>
      <c r="P13" s="12"/>
      <c r="Q13" s="12"/>
      <c r="R13" s="12"/>
    </row>
    <row r="14" customFormat="false" ht="15" hidden="false" customHeight="false" outlineLevel="0" collapsed="false">
      <c r="A14" s="12"/>
      <c r="B14" s="12"/>
      <c r="C14" s="12"/>
      <c r="D14" s="12"/>
      <c r="E14" s="12"/>
      <c r="F14" s="12"/>
      <c r="G14" s="12"/>
      <c r="H14" s="12"/>
      <c r="I14" s="12"/>
      <c r="J14" s="12"/>
      <c r="K14" s="12"/>
      <c r="L14" s="12"/>
      <c r="M14" s="12"/>
      <c r="N14" s="12"/>
      <c r="O14" s="12"/>
      <c r="P14" s="12"/>
      <c r="Q14" s="12"/>
      <c r="R14" s="12"/>
    </row>
    <row r="15" customFormat="false" ht="15" hidden="false" customHeight="false" outlineLevel="0" collapsed="false">
      <c r="A15" s="12"/>
      <c r="B15" s="12"/>
      <c r="C15" s="12"/>
      <c r="D15" s="12"/>
      <c r="E15" s="12"/>
      <c r="F15" s="12"/>
      <c r="G15" s="12"/>
      <c r="H15" s="12"/>
      <c r="I15" s="12"/>
      <c r="J15" s="12"/>
      <c r="K15" s="12"/>
      <c r="L15" s="12"/>
      <c r="M15" s="12"/>
      <c r="N15" s="12"/>
      <c r="O15" s="12"/>
      <c r="P15" s="12"/>
      <c r="Q15" s="12"/>
      <c r="R15" s="12"/>
    </row>
    <row r="16" customFormat="false" ht="15" hidden="false" customHeight="false" outlineLevel="0" collapsed="false">
      <c r="A16" s="12"/>
      <c r="B16" s="12"/>
      <c r="C16" s="12"/>
      <c r="D16" s="12"/>
      <c r="E16" s="12"/>
      <c r="F16" s="12"/>
      <c r="G16" s="12"/>
      <c r="H16" s="12"/>
      <c r="I16" s="12"/>
      <c r="J16" s="12"/>
      <c r="K16" s="12"/>
      <c r="L16" s="12"/>
      <c r="M16" s="12"/>
      <c r="N16" s="12"/>
      <c r="O16" s="12"/>
      <c r="P16" s="12"/>
      <c r="Q16" s="12"/>
      <c r="R16" s="12"/>
    </row>
    <row r="17" customFormat="false" ht="15" hidden="false" customHeight="false" outlineLevel="0" collapsed="false">
      <c r="A17" s="12"/>
      <c r="B17" s="12"/>
      <c r="C17" s="12"/>
      <c r="D17" s="12"/>
      <c r="E17" s="12"/>
      <c r="F17" s="12"/>
      <c r="G17" s="12"/>
      <c r="H17" s="12"/>
      <c r="I17" s="12"/>
      <c r="J17" s="12"/>
      <c r="K17" s="12"/>
      <c r="L17" s="12"/>
      <c r="M17" s="12"/>
      <c r="N17" s="12"/>
      <c r="O17" s="12"/>
      <c r="P17" s="12"/>
      <c r="Q17" s="12"/>
      <c r="R17" s="12"/>
    </row>
    <row r="18" customFormat="false" ht="15" hidden="false" customHeight="false" outlineLevel="0" collapsed="false">
      <c r="A18" s="12"/>
      <c r="B18" s="12"/>
      <c r="C18" s="12"/>
      <c r="D18" s="12"/>
      <c r="E18" s="12"/>
      <c r="F18" s="12"/>
      <c r="G18" s="12"/>
      <c r="H18" s="12"/>
      <c r="I18" s="12"/>
      <c r="J18" s="12"/>
      <c r="K18" s="12"/>
      <c r="L18" s="12"/>
      <c r="M18" s="12"/>
      <c r="N18" s="12"/>
      <c r="O18" s="12"/>
      <c r="P18" s="12"/>
      <c r="Q18" s="12"/>
      <c r="R18" s="12"/>
    </row>
    <row r="19" customFormat="false" ht="15" hidden="false" customHeight="false" outlineLevel="0" collapsed="false">
      <c r="A19" s="12"/>
      <c r="B19" s="12"/>
      <c r="C19" s="12"/>
      <c r="D19" s="12"/>
      <c r="E19" s="12"/>
      <c r="F19" s="12"/>
      <c r="G19" s="12"/>
      <c r="H19" s="12"/>
      <c r="I19" s="12"/>
      <c r="J19" s="12"/>
      <c r="K19" s="12"/>
      <c r="L19" s="12"/>
      <c r="M19" s="12"/>
      <c r="N19" s="12"/>
      <c r="O19" s="12"/>
      <c r="P19" s="12"/>
      <c r="Q19" s="12"/>
      <c r="R19" s="12"/>
    </row>
    <row r="20" customFormat="false" ht="15" hidden="false" customHeight="false" outlineLevel="0" collapsed="false">
      <c r="A20" s="12"/>
      <c r="B20" s="12"/>
      <c r="C20" s="12"/>
      <c r="D20" s="12"/>
      <c r="E20" s="12"/>
      <c r="F20" s="12"/>
      <c r="G20" s="12"/>
      <c r="H20" s="12"/>
      <c r="I20" s="12"/>
      <c r="J20" s="12"/>
      <c r="K20" s="12"/>
      <c r="L20" s="12"/>
      <c r="M20" s="12"/>
      <c r="N20" s="12"/>
      <c r="O20" s="12"/>
      <c r="P20" s="12"/>
      <c r="Q20" s="12"/>
      <c r="R20" s="12"/>
    </row>
    <row r="21" customFormat="false" ht="15" hidden="false" customHeight="false" outlineLevel="0" collapsed="false">
      <c r="A21" s="12"/>
      <c r="B21" s="12"/>
      <c r="C21" s="12"/>
      <c r="D21" s="12"/>
      <c r="E21" s="12"/>
      <c r="F21" s="12"/>
      <c r="G21" s="12"/>
      <c r="H21" s="12"/>
      <c r="I21" s="12"/>
      <c r="J21" s="12"/>
      <c r="K21" s="12"/>
      <c r="L21" s="12"/>
      <c r="M21" s="12"/>
      <c r="N21" s="12"/>
      <c r="O21" s="12"/>
      <c r="P21" s="12"/>
      <c r="Q21" s="12"/>
      <c r="R21" s="12"/>
    </row>
    <row r="22" customFormat="false" ht="15" hidden="false" customHeight="false" outlineLevel="0" collapsed="false">
      <c r="A22" s="12"/>
      <c r="B22" s="12"/>
      <c r="C22" s="12"/>
      <c r="D22" s="12"/>
      <c r="E22" s="12"/>
      <c r="F22" s="12"/>
      <c r="G22" s="12"/>
      <c r="H22" s="12"/>
      <c r="I22" s="12"/>
      <c r="J22" s="12"/>
      <c r="K22" s="12"/>
      <c r="L22" s="12"/>
      <c r="M22" s="12"/>
      <c r="N22" s="12"/>
      <c r="O22" s="12"/>
      <c r="P22" s="12"/>
      <c r="Q22" s="12"/>
      <c r="R22" s="12"/>
    </row>
    <row r="24" customFormat="false" ht="15" hidden="false" customHeight="false" outlineLevel="0" collapsed="false">
      <c r="A24" s="18" t="s">
        <v>567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0"/>
    <col collapsed="false" customWidth="true" hidden="false" outlineLevel="0" max="3" min="3" style="0" width="8"/>
    <col collapsed="false" customWidth="true" hidden="false" outlineLevel="0" max="4" min="4" style="0" width="60"/>
    <col collapsed="false" customWidth="true" hidden="false" outlineLevel="0" max="5" min="5" style="0" width="22"/>
  </cols>
  <sheetData>
    <row r="1" customFormat="false" ht="31.5" hidden="false" customHeight="true" outlineLevel="0" collapsed="false">
      <c r="A1" s="8" t="s">
        <v>568</v>
      </c>
      <c r="B1" s="8" t="s">
        <v>569</v>
      </c>
      <c r="C1" s="8" t="s">
        <v>570</v>
      </c>
      <c r="D1" s="8" t="s">
        <v>571</v>
      </c>
      <c r="E1" s="8" t="s">
        <v>572</v>
      </c>
    </row>
    <row r="2" customFormat="false" ht="23.85" hidden="false" customHeight="false" outlineLevel="0" collapsed="false">
      <c r="A2" s="10" t="s">
        <v>77</v>
      </c>
      <c r="B2" s="10" t="s">
        <v>573</v>
      </c>
      <c r="C2" s="10" t="s">
        <v>574</v>
      </c>
      <c r="D2" s="10" t="s">
        <v>575</v>
      </c>
      <c r="E2" s="12"/>
    </row>
    <row r="3" customFormat="false" ht="23.85" hidden="false" customHeight="false" outlineLevel="0" collapsed="false">
      <c r="A3" s="10" t="s">
        <v>146</v>
      </c>
      <c r="B3" s="10" t="s">
        <v>576</v>
      </c>
      <c r="C3" s="10" t="s">
        <v>574</v>
      </c>
      <c r="D3" s="10" t="s">
        <v>577</v>
      </c>
      <c r="E3" s="12"/>
    </row>
    <row r="4" customFormat="false" ht="23.85" hidden="false" customHeight="false" outlineLevel="0" collapsed="false">
      <c r="A4" s="10" t="s">
        <v>185</v>
      </c>
      <c r="B4" s="10" t="s">
        <v>578</v>
      </c>
      <c r="C4" s="10" t="s">
        <v>579</v>
      </c>
      <c r="D4" s="10" t="s">
        <v>580</v>
      </c>
      <c r="E4" s="12"/>
    </row>
    <row r="5" customFormat="false" ht="15" hidden="false" customHeight="false" outlineLevel="0" collapsed="false">
      <c r="A5" s="10" t="s">
        <v>581</v>
      </c>
      <c r="B5" s="10" t="s">
        <v>582</v>
      </c>
      <c r="C5" s="10" t="s">
        <v>579</v>
      </c>
      <c r="D5" s="10" t="s">
        <v>583</v>
      </c>
      <c r="E5" s="12"/>
    </row>
    <row r="6" customFormat="false" ht="15" hidden="false" customHeight="false" outlineLevel="0" collapsed="false">
      <c r="A6" s="10" t="s">
        <v>155</v>
      </c>
      <c r="B6" s="10" t="s">
        <v>584</v>
      </c>
      <c r="C6" s="10" t="s">
        <v>29</v>
      </c>
      <c r="D6" s="10" t="s">
        <v>583</v>
      </c>
      <c r="E6" s="12"/>
    </row>
    <row r="7" customFormat="false" ht="15" hidden="false" customHeight="false" outlineLevel="0" collapsed="false">
      <c r="A7" s="10" t="s">
        <v>165</v>
      </c>
      <c r="B7" s="10" t="s">
        <v>585</v>
      </c>
      <c r="C7" s="10" t="s">
        <v>574</v>
      </c>
      <c r="D7" s="10" t="s">
        <v>586</v>
      </c>
      <c r="E7" s="12"/>
    </row>
    <row r="8" customFormat="false" ht="23.85" hidden="false" customHeight="false" outlineLevel="0" collapsed="false">
      <c r="A8" s="10" t="s">
        <v>587</v>
      </c>
      <c r="B8" s="10" t="s">
        <v>588</v>
      </c>
      <c r="C8" s="10" t="s">
        <v>589</v>
      </c>
      <c r="D8" s="10"/>
      <c r="E8" s="12"/>
    </row>
    <row r="9" customFormat="false" ht="23.85" hidden="false" customHeight="false" outlineLevel="0" collapsed="false">
      <c r="A9" s="10" t="s">
        <v>590</v>
      </c>
      <c r="B9" s="10" t="s">
        <v>591</v>
      </c>
      <c r="C9" s="10" t="s">
        <v>589</v>
      </c>
      <c r="D9" s="10"/>
      <c r="E9" s="12"/>
    </row>
    <row r="10" customFormat="false" ht="15" hidden="false" customHeight="false" outlineLevel="0" collapsed="false">
      <c r="A10" s="10" t="s">
        <v>191</v>
      </c>
      <c r="B10" s="10" t="s">
        <v>592</v>
      </c>
      <c r="C10" s="10" t="s">
        <v>589</v>
      </c>
      <c r="D10" s="10" t="s">
        <v>593</v>
      </c>
      <c r="E10" s="12"/>
    </row>
    <row r="11" customFormat="false" ht="15" hidden="false" customHeight="false" outlineLevel="0" collapsed="false">
      <c r="A11" s="10" t="s">
        <v>198</v>
      </c>
      <c r="B11" s="10" t="s">
        <v>594</v>
      </c>
      <c r="C11" s="10" t="s">
        <v>595</v>
      </c>
      <c r="D11" s="10"/>
      <c r="E11" s="12"/>
    </row>
    <row r="12" customFormat="false" ht="23.85" hidden="false" customHeight="false" outlineLevel="0" collapsed="false">
      <c r="A12" s="10" t="s">
        <v>433</v>
      </c>
      <c r="B12" s="10" t="s">
        <v>596</v>
      </c>
      <c r="C12" s="10" t="s">
        <v>597</v>
      </c>
      <c r="D12" s="10" t="s">
        <v>598</v>
      </c>
      <c r="E12" s="12"/>
    </row>
    <row r="13" customFormat="false" ht="23.85" hidden="false" customHeight="false" outlineLevel="0" collapsed="false">
      <c r="A13" s="10" t="s">
        <v>438</v>
      </c>
      <c r="B13" s="10" t="s">
        <v>599</v>
      </c>
      <c r="C13" s="10" t="s">
        <v>597</v>
      </c>
      <c r="D13" s="10" t="s">
        <v>600</v>
      </c>
      <c r="E13" s="12"/>
    </row>
    <row r="14" customFormat="false" ht="15" hidden="false" customHeight="false" outlineLevel="0" collapsed="false">
      <c r="A14" s="10" t="s">
        <v>428</v>
      </c>
      <c r="B14" s="10" t="s">
        <v>601</v>
      </c>
      <c r="C14" s="10" t="s">
        <v>29</v>
      </c>
      <c r="D14" s="10" t="s">
        <v>583</v>
      </c>
      <c r="E14" s="12"/>
    </row>
    <row r="15" customFormat="false" ht="15" hidden="false" customHeight="false" outlineLevel="0" collapsed="false">
      <c r="A15" s="10" t="s">
        <v>142</v>
      </c>
      <c r="B15" s="10" t="s">
        <v>602</v>
      </c>
      <c r="C15" s="10" t="s">
        <v>29</v>
      </c>
      <c r="D15" s="10" t="s">
        <v>603</v>
      </c>
      <c r="E15" s="12"/>
    </row>
    <row r="16" customFormat="false" ht="15" hidden="false" customHeight="false" outlineLevel="0" collapsed="false">
      <c r="A16" s="10" t="s">
        <v>260</v>
      </c>
      <c r="B16" s="10" t="s">
        <v>604</v>
      </c>
      <c r="C16" s="10" t="s">
        <v>589</v>
      </c>
      <c r="D16" s="10" t="s">
        <v>605</v>
      </c>
      <c r="E16" s="12"/>
    </row>
    <row r="17" customFormat="false" ht="23.85" hidden="false" customHeight="false" outlineLevel="0" collapsed="false">
      <c r="A17" s="10" t="s">
        <v>236</v>
      </c>
      <c r="B17" s="10" t="s">
        <v>606</v>
      </c>
      <c r="C17" s="10" t="s">
        <v>29</v>
      </c>
      <c r="D17" s="10"/>
      <c r="E17" s="12"/>
    </row>
    <row r="18" customFormat="false" ht="15" hidden="false" customHeight="false" outlineLevel="0" collapsed="false">
      <c r="A18" s="10" t="s">
        <v>607</v>
      </c>
      <c r="B18" s="10" t="s">
        <v>608</v>
      </c>
      <c r="C18" s="10" t="s">
        <v>574</v>
      </c>
      <c r="D18" s="10"/>
      <c r="E18" s="12"/>
    </row>
    <row r="19" customFormat="false" ht="23.85" hidden="false" customHeight="false" outlineLevel="0" collapsed="false">
      <c r="A19" s="10" t="s">
        <v>108</v>
      </c>
      <c r="B19" s="10" t="s">
        <v>609</v>
      </c>
      <c r="C19" s="10" t="s">
        <v>29</v>
      </c>
      <c r="D19" s="10" t="s">
        <v>610</v>
      </c>
      <c r="E19" s="12"/>
    </row>
    <row r="20" customFormat="false" ht="15" hidden="false" customHeight="false" outlineLevel="0" collapsed="false">
      <c r="A20" s="10" t="s">
        <v>172</v>
      </c>
      <c r="B20" s="10" t="s">
        <v>611</v>
      </c>
      <c r="C20" s="10" t="s">
        <v>612</v>
      </c>
      <c r="D20" s="10"/>
      <c r="E20"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2026-09-28T09:02:29Z</dcterms:created>
  <dc:creator>openpyxl</dc:creator>
  <dc:description/>
  <dc:language>en-US</dc:language>
  <cp:lastModifiedBy/>
  <dcterms:modified xsi:type="dcterms:W3CDTF">2026-09-28T09:02:29Z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